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NEEDS YOUR ATTENTION" sheetId="2" state="visible" r:id="rId4"/>
    <sheet name="REAL SOURCE PARITY CHECKLIST" sheetId="3" state="visible" r:id="rId5"/>
    <sheet name="Summary" sheetId="4" state="visible" r:id="rId6"/>
    <sheet name="Feature Tracker" sheetId="5" state="visible" r:id="rId7"/>
    <sheet name="Supabase Progress (Real)" sheetId="6" state="visible" r:id="rId8"/>
  </sheets>
  <definedNames>
    <definedName function="false" hidden="true" localSheetId="4" name="_xlnm._FilterDatabase" vbProcedure="false">'Feature Tracker'!$A$2:$I$145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<sst xmlns="http://schemas.openxmlformats.org/spreadsheetml/2006/main" count="2553" uniqueCount="1779">
  <si>
    <t xml:space="preserve">UMC-BCK — Feature Migration Tracker</t>
  </si>
  <si>
    <t xml:space="preserve">Every dashboard, tab, and feature that exists in the working HTML prototype, tracked against real migration progress into Supabase and React.</t>
  </si>
  <si>
    <t xml:space="preserve">WHY THIS EXISTS</t>
  </si>
  <si>
    <t xml:space="preserve">This tracker exists specifically to prevent what happened during the CHS migration — features that were real and working in the</t>
  </si>
  <si>
    <t xml:space="preserve">prototype getting treated as "placeholders" and quietly left behind because nobody had written down, unambiguously, that they</t>
  </si>
  <si>
    <t xml:space="preserve">were real. Every row below was pulled directly from the actual HTML source code, not from memory.</t>
  </si>
  <si>
    <t xml:space="preserve">HOW TO USE THIS DURING THE MIGRATION</t>
  </si>
  <si>
    <t xml:space="preserve">1. Before starting work on any feature, find it in this tracker and confirm its "HTML Prototype" status is Done — if it's not</t>
  </si>
  <si>
    <t xml:space="preserve">   listed here at all, something was missed in this audit and should be added, not skipped.</t>
  </si>
  <si>
    <t xml:space="preserve">2. As each feature's database structure is built in Supabase, update its "Supabase Schema" status.</t>
  </si>
  <si>
    <t xml:space="preserve">3. As each feature is rebuilt in the React frontend, update its "React Frontend" status.</t>
  </si>
  <si>
    <t xml:space="preserve">4. A feature is NOT considered migrated until all three columns say Done. Partial means real work started but the feature is</t>
  </si>
  <si>
    <t xml:space="preserve">   not usable end-to-end yet — treat it the same as Not started when deciding what's left to do.</t>
  </si>
  <si>
    <t xml:space="preserve">5. Do not delete rows. If a feature is deliberately dropped from the product (not just delayed), mark it "Dropped" in the</t>
  </si>
  <si>
    <t xml:space="preserve">   Notes column and say who decided that and when — a silent deletion from this sheet is exactly the failure mode this</t>
  </si>
  <si>
    <t xml:space="preserve">   document exists to prevent.</t>
  </si>
  <si>
    <t xml:space="preserve">STATUS DEFINITIONS</t>
  </si>
  <si>
    <t xml:space="preserve">  Done        — fully built and working for this layer</t>
  </si>
  <si>
    <t xml:space="preserve">  Partial     — some real work exists, but incomplete or not connected end-to-end</t>
  </si>
  <si>
    <t xml:space="preserve">  Not started — nothing built yet for this layer</t>
  </si>
  <si>
    <t xml:space="preserve">SHEET GUIDE</t>
  </si>
  <si>
    <t xml:space="preserve">  Feature Tracker    — the full inventory, one row per feature, filterable by Area</t>
  </si>
  <si>
    <t xml:space="preserve">  Supabase Progress   — what has actually been verified as built in the real Supabase project as of this tracker's creation</t>
  </si>
  <si>
    <t xml:space="preserve">This is a living document. It should be more current than anyone's memory of the project, including the AI's.</t>
  </si>
  <si>
    <t xml:space="preserve">⚠ NEEDS YOUR ATTENTION — set aside, not to be treated until the full migration is genuinely done</t>
  </si>
  <si>
    <t xml:space="preserve">Kept deliberately separate per explicit instruction, so nothing here gets lost, mixed into build work, or forgotten while attention is on something else.</t>
  </si>
  <si>
    <t xml:space="preserve">#</t>
  </si>
  <si>
    <t xml:space="preserve">Item</t>
  </si>
  <si>
    <t xml:space="preserve">What's needed from you</t>
  </si>
  <si>
    <t xml:space="preserve">Where it came from</t>
  </si>
  <si>
    <t xml:space="preserve">✅ RESOLVED — PWA manifest was never actually broken, see Supabase Progress sheet</t>
  </si>
  <si>
    <t xml:space="preserve">Real root cause found and fixed: Netlify's catch-all redirect was serving index.html for every request, including /manifest.json — the manifest file itself was always correct.</t>
  </si>
  <si>
    <t xml:space="preserve">PWA/deployment work, early session</t>
  </si>
  <si>
    <t xml:space="preserve">Voice-to-text parsing (Sales Register) is deployed but cannot function yet</t>
  </si>
  <si>
    <t xml:space="preserve">A real ANTHROPIC_API_KEY needs to be set as a Supabase Edge Function secret — same setup as the Paystack key, never touches this codebase</t>
  </si>
  <si>
    <t xml:space="preserve">Feature #144 (Sales Register)</t>
  </si>
  <si>
    <t xml:space="preserve">7 Bills &amp; Services categories (Water, JAMB, NABTEB, School Fees, NIN, Road Transport, Flights/Hotels)</t>
  </si>
  <si>
    <t xml:space="preserve">Which VTU/billing provider to actually integrate with — nothing to build until this is chosen</t>
  </si>
  <si>
    <t xml:space="preserve">Bills &amp; Services hub, flagged repeatedly across the session</t>
  </si>
  <si>
    <t xml:space="preserve">Bills &amp; Services 2-4% platform margin</t>
  </si>
  <si>
    <t xml:space="preserve">Downstream of the provider decision above — no real automated settlement exists yet to apply a margin to</t>
  </si>
  <si>
    <t xml:space="preserve">Handover-document audit, Section 14</t>
  </si>
  <si>
    <t xml:space="preserve">Pure Gold &amp; Precious Metals — no seed data</t>
  </si>
  <si>
    <t xml:space="preserve">Real seller and product data is needed — this was never invented, per the standing discipline against fabricating data</t>
  </si>
  <si>
    <t xml:space="preserve">Flagged since early tracker reconciliation</t>
  </si>
  <si>
    <t xml:space="preserve">Two separate Netlify deployments exist (different URLs)</t>
  </si>
  <si>
    <t xml:space="preserve">A decision on which one is canonical, and whether to consolidate into one</t>
  </si>
  <si>
    <t xml:space="preserve">"One or two other suggestions" — mentioned but not yet detailed</t>
  </si>
  <si>
    <t xml:space="preserve">Your own description of what these are, once migration work is complete</t>
  </si>
  <si>
    <t xml:space="preserve">Raised directly in this conversation</t>
  </si>
  <si>
    <t xml:space="preserve">Login method redesign (phone + 6-digit PIN, with biometric fast-path)</t>
  </si>
  <si>
    <t xml:space="preserve">Real analysis and recommendation given, matching your sister app's PIN convention — but this fundamentally changes how Supabase Auth is used platform-wide and needs your explicit confirmation before being built, not assumed</t>
  </si>
  <si>
    <t xml:space="preserve">Login/auth discussion, this session</t>
  </si>
  <si>
    <t xml:space="preserve">Delivery Agent 'Face verified' badge — needs a real biometric KYC provider</t>
  </si>
  <si>
    <t xml:space="preserve">The real source shows this as a genuine liveness/face-match verification, not just an ID upload. Requires a real third-party biometric KYC service (e.g. Smile Identity, Youverify) and a provider decision — not something to fake with a cosmetic badge</t>
  </si>
  <si>
    <t xml:space="preserve">Real-source parity audit, Delivery section</t>
  </si>
  <si>
    <t xml:space="preserve">Buyer never actively confirms delivery — a real, larger architectural gap found while building ratings</t>
  </si>
  <si>
    <t xml:space="preserve">The handover document explicitly requires the buyer to tap 'Confirm received' or 'Raise dispute' before the agent can leave — but the current build has the AGENT calling mark_order_delivered directly, with no real buyer-side confirmation gate at all. This is a real, separate redesign of the delivery-confirmation flow, not something to rush alongside the ratings feature built this round</t>
  </si>
  <si>
    <t xml:space="preserve">Real-source parity audit, Delivery Performance section</t>
  </si>
  <si>
    <t xml:space="preserve">Proxy pickup — real encrypted QR ticket system not yet built</t>
  </si>
  <si>
    <t xml:space="preserve">'Proxy pickup' exists as a selectable delivery option, but the real source requires a genuine encrypted/signed QR ticket tied to the order, validated at the pickup point, for someone other than the buyer to collect. Currently just a label with no real ticket-generation or validation behind it</t>
  </si>
  <si>
    <t xml:space="preserve">Real-source parity audit, Buyer checkout section</t>
  </si>
  <si>
    <t xml:space="preserve">REAL SOURCE PARITY CHECKLIST — every screen, checked against the actual original index.html</t>
  </si>
  <si>
    <t xml:space="preserve">Source of truth: /mnt/user-data/uploads/index.html (7,106 real lines) + UMC_BCK_Feature_Handover_Notes.md. Not guessed, not reconstructed from memory.</t>
  </si>
  <si>
    <t xml:space="preserve">Role</t>
  </si>
  <si>
    <t xml:space="preserve">Real Screen</t>
  </si>
  <si>
    <t xml:space="preserve">Status</t>
  </si>
  <si>
    <t xml:space="preserve">What was checked / found</t>
  </si>
  <si>
    <t xml:space="preserve">Real fix applied</t>
  </si>
  <si>
    <t xml:space="preserve">Buyer</t>
  </si>
  <si>
    <t xml:space="preserve">home</t>
  </si>
  <si>
    <t xml:space="preserve">Done</t>
  </si>
  <si>
    <t xml:space="preserve">Full real productCatalogue restored — 201 real items across 24 categories, found directly in source and inserted into master_catalog_items. Category rail, markets near you, search scope all real</t>
  </si>
  <si>
    <t xml:space="preserve">cart</t>
  </si>
  <si>
    <t xml:space="preserve">Scroll-to-accept terms gate verified real; hardcoded terms_accepted:true bug found and fixed to pass real state</t>
  </si>
  <si>
    <t xml:space="preserve">Fixed</t>
  </si>
  <si>
    <t xml:space="preserve">checkout</t>
  </si>
  <si>
    <t xml:space="preserve">Weight/urgency surcharges built last round. This round: real tiered store-pickup pricing added — free for 1 store, real fee for 2-5, higher for 6+. One real design decision: since each seller checks out as a separate transaction, the fee is charged once per session (the first pickup checkout) via sessionStorage rather than re-charged on every subsequent pickup, since it covers one real trip, not per-store. Caught and fixed a real bug in the same pass: the fee params block was silently overriding the calculated pickup fee back to zero. Still open: real encrypted QR ticket for Proxy pickup, named on attention sheet</t>
  </si>
  <si>
    <t xml:space="preserve">terms / terms-full</t>
  </si>
  <si>
    <t xml:space="preserve">Real scroll-tracking mechanism confirmed matching source exactly</t>
  </si>
  <si>
    <t xml:space="preserve">mklist (My List)</t>
  </si>
  <si>
    <t xml:space="preserve">renderMarketList() confirmed functionally identical to what's already built as Price Watch/Market List — bookmark + target price tracking, both real</t>
  </si>
  <si>
    <t xml:space="preserve">bills</t>
  </si>
  <si>
    <t xml:space="preserve">4 of 6 real tabs already matched (Airtime, Data, Bills, Education combine cleanly with existing categories). Travel and Instalment/BNPL confirmed to be unbuilt stub buttons in the original source itself — nothing to restore honestly, not invented. Real network dropdown (MTN/Glo/Airtel/9mobile) added for airtime/data, replacing free text. Caught and fixed a real bug in the same pass: a new useEffect referenced setProvider before its declaration, which would have thrown at runtime</t>
  </si>
  <si>
    <t xml:space="preserve">profile</t>
  </si>
  <si>
    <t xml:space="preserve">Rebuilt to match real source: personal info, delivery addresses, favourite sellers, account settings links</t>
  </si>
  <si>
    <t xml:space="preserve">success</t>
  </si>
  <si>
    <t xml:space="preserve">Was a small inline banner; real source has a genuine dedicated confirmation screen. Rebuilt fully — real checkmark, real reassurance message, order reference, and Back to marketplace now genuinely navigates rather than just clearing local state</t>
  </si>
  <si>
    <t xml:space="preserve">Seller</t>
  </si>
  <si>
    <t xml:space="preserve">dashboard</t>
  </si>
  <si>
    <t xml:space="preserve">Partial</t>
  </si>
  <si>
    <t xml:space="preserve">Real gap found: was showing all-time totals only, not Sales today/This week as source requires. Fixed with real date-filtered queries plus real Go to Upload/View orders shortcuts. Still open: Seller ID + QR code section (found in source, not yet built anywhere)</t>
  </si>
  <si>
    <t xml:space="preserve">upload</t>
  </si>
  <si>
    <t xml:space="preserve">Real category taxonomy corrected — the real source has more granular categories (separate Fashion sub-types, separate alcohol/beverage categories, Books &amp; stationery, Airtime &amp; data) than my earlier restoration used. Fixed in both seller and buyer category lists. Real brand dropdown found missing entirely — category_brands existed as real seed data but nothing queried it; wired in fully, including a real products.brand column that didn't exist to save the value into</t>
  </si>
  <si>
    <t xml:space="preserve">stock</t>
  </si>
  <si>
    <t xml:space="preserve">Real gap found against handover doc's own language: Available/Sold out/Restocked required, attendant must never set this. sold_out existed, restocked did not. Added restocked enum value + set_product_stock_status() with real owner-only check (not just UI hiding)</t>
  </si>
  <si>
    <t xml:space="preserve">orders</t>
  </si>
  <si>
    <t xml:space="preserve">Confirmed already real and matching — confirm_order()/reject_order() with genuine pending-count UI, verified directly against source</t>
  </si>
  <si>
    <t xml:space="preserve">register</t>
  </si>
  <si>
    <t xml:space="preserve">Sales Register built extensively this session — barcode, credit sales, offline queue, voice</t>
  </si>
  <si>
    <t xml:space="preserve">attendant</t>
  </si>
  <si>
    <t xml:space="preserve">Real stock/sale/request features already matched core structure. Two real precise gaps found and fixed: real 'suggested restock quantity' field added (was previously a bare flag), and real 'deposit paid' field added to credit requests, flowing through to the receivable's real outstanding balance. A real function-overload bug was caught and fixed in the same round: CREATE OR REPLACE with a new trailing parameter silently reset anon/public revokes on 2 functions — caught by direct verification, not assumed safe</t>
  </si>
  <si>
    <t xml:space="preserve">Director</t>
  </si>
  <si>
    <t xml:space="preserve">overview</t>
  </si>
  <si>
    <t xml:space="preserve">Core structure (metrics, store list, pending approvals) already matches via the shared seller/director dashboard — real approval queues already exist (restock, credit requests, attendants)</t>
  </si>
  <si>
    <t xml:space="preserve">stores</t>
  </si>
  <si>
    <t xml:space="preserve">Multi-store switcher confirmed real; add-store discoverability fixed</t>
  </si>
  <si>
    <t xml:space="preserve">addstock</t>
  </si>
  <si>
    <t xml:space="preserve">Real, distinct feature found genuinely missing — a director replicating an existing product to a different store they own, without re-uploading. Built fully: real ownership check on both source product and target store, real match-by-name to increment existing stock rather than duplicate, real stock_movements audit log. Shown only when a user genuinely owns 2+ stores, matching the real director concept precisely</t>
  </si>
  <si>
    <t xml:space="preserve">attendants</t>
  </si>
  <si>
    <t xml:space="preserve">Assignment, access-code generation, approvals queue all built</t>
  </si>
  <si>
    <t xml:space="preserve">Delivery</t>
  </si>
  <si>
    <t xml:space="preserve">Not yet checked</t>
  </si>
  <si>
    <t xml:space="preserve">earnings</t>
  </si>
  <si>
    <t xml:space="preserve">Was one flat all-time number; real source needs 4 real metrics (Today, Waiting time bonus, This week, Wallet balance). Found the real waiting-bonus data already existed as wallet_transactions with reference_type='waiting_fine' — nothing surfaced it. Fixed with genuine date-filtered queries, no invented numbers</t>
  </si>
  <si>
    <t xml:space="preserve">performance</t>
  </si>
  <si>
    <t xml:space="preserve">A real, entirely new feature found missing platform-wide: buyer ratings for delivery agents. Built completely — real delivery_ratings table, real rate_delivery_agent() (one per order, genuine buyer only, genuinely delivered order only), real live-computed aggregate (average rating, completion rate, on-time rate from real sla_deadline comparison — no stored average that could drift). Real rating prompt added to buyer's MyOrders for delivered, unrated orders</t>
  </si>
  <si>
    <t xml:space="preserve">company</t>
  </si>
  <si>
    <t xml:space="preserve">Was only capturing company_name — real source requires genuine legal identity: CAC number, TIN, verifiable address, state + year of incorporation, real CAC certificate upload, accountable director/signatory. All added with a real private storage bucket</t>
  </si>
  <si>
    <t xml:space="preserve">Canteen</t>
  </si>
  <si>
    <t xml:space="preserve">order</t>
  </si>
  <si>
    <t xml:space="preserve">Category taxonomy + dish quick-pick restored; multi-soup/multi-protein selector pattern not yet confirmed built</t>
  </si>
  <si>
    <t xml:space="preserve">group</t>
  </si>
  <si>
    <t xml:space="preserve">Found genuinely bigger than what existed — contributor_name was just a text label, not a real shareable group-order system. Built completely: real short shareable code, real join-by-code with deadline enforcement, real order tagging via a new group_order_id — only the initiator's checkout carries the real delivery fee, avoiding fragile split-fee math needing a final headcount before checkout. THIRD occurrence of the CREATE OR REPLACE overload/revoke bug caught in this same round (place_order and checkout_cart both), both verified and fixed directly rather than assumed safe</t>
  </si>
  <si>
    <t xml:space="preserve">track</t>
  </si>
  <si>
    <t xml:space="preserve">Real, more granular 4-stage tracker found — a genuine 'preparing' status with an estimated ready time, sitting between confirmed and assigned, that didn't exist in the generic order lifecycle. Added the real enum value, a real seller-only transition function, and a real visual tracker on the buyer's receipt derived from genuine order/assignment state, not a simulated progress bar. Seller-side 'Mark as preparing' button added to Incoming Orders</t>
  </si>
  <si>
    <t xml:space="preserve">Used Items</t>
  </si>
  <si>
    <t xml:space="preserve">browse</t>
  </si>
  <si>
    <t xml:space="preserve">Real, significant gap found: no category field existed anywhere — despite the handover document's own Section 12 explicitly naming category as a required field. Added the real column, the real 6-category taxonomy from the source (Electronics, Furniture, Fashion, Vehicles, Instruments, Other), and a real filter pill row on browse</t>
  </si>
  <si>
    <t xml:space="preserve">list</t>
  </si>
  <si>
    <t xml:space="preserve">Real category dropdown added to the listing form, wired into the actual insert — was previously entirely absent</t>
  </si>
  <si>
    <t xml:space="preserve">free</t>
  </si>
  <si>
    <t xml:space="preserve">Sadaqah framing confirmed present</t>
  </si>
  <si>
    <t xml:space="preserve">Migration Progress Summary</t>
  </si>
  <si>
    <t xml:space="preserve">Counts below are live formulas against the Feature Tracker sheet — they recalculate automatically as statuses are updated.</t>
  </si>
  <si>
    <t xml:space="preserve">Layer</t>
  </si>
  <si>
    <t xml:space="preserve">Not started</t>
  </si>
  <si>
    <t xml:space="preserve">Total</t>
  </si>
  <si>
    <t xml:space="preserve">HTML Prototype</t>
  </si>
  <si>
    <t xml:space="preserve">Supabase Schema</t>
  </si>
  <si>
    <t xml:space="preserve">React Frontend</t>
  </si>
  <si>
    <t xml:space="preserve">Total features tracked:</t>
  </si>
  <si>
    <t xml:space="preserve">By Area</t>
  </si>
  <si>
    <t xml:space="preserve">Area</t>
  </si>
  <si>
    <t xml:space="preserve">Total Features</t>
  </si>
  <si>
    <t xml:space="preserve">Supabase — Done</t>
  </si>
  <si>
    <t xml:space="preserve">Supabase — Partial</t>
  </si>
  <si>
    <t xml:space="preserve">Supabase — Not started</t>
  </si>
  <si>
    <t xml:space="preserve">Buyer Marketplace</t>
  </si>
  <si>
    <t xml:space="preserve">Seller Dashboard</t>
  </si>
  <si>
    <t xml:space="preserve">Canteen &amp; Fast Food</t>
  </si>
  <si>
    <t xml:space="preserve">Delivery Agent</t>
  </si>
  <si>
    <t xml:space="preserve">Director Dashboard</t>
  </si>
  <si>
    <t xml:space="preserve">Bills &amp; Services</t>
  </si>
  <si>
    <t xml:space="preserve">Phones &amp; Tech Hub</t>
  </si>
  <si>
    <t xml:space="preserve">Gold &amp; Jewelry Hub</t>
  </si>
  <si>
    <t xml:space="preserve">Automobile Hub</t>
  </si>
  <si>
    <t xml:space="preserve">Pharma &amp; Medical Hub</t>
  </si>
  <si>
    <t xml:space="preserve">Admin Control Room</t>
  </si>
  <si>
    <t xml:space="preserve">Used Items (Secondhand)</t>
  </si>
  <si>
    <t xml:space="preserve">Kasuwa Price Watch</t>
  </si>
  <si>
    <t xml:space="preserve">Platform-wide</t>
  </si>
  <si>
    <t xml:space="preserve">UMC-BCK Feature Migration Tracker — every row pulled from the live HTML prototype source code</t>
  </si>
  <si>
    <t xml:space="preserve">Screen / Tab</t>
  </si>
  <si>
    <t xml:space="preserve">Feature</t>
  </si>
  <si>
    <t xml:space="preserve">Description</t>
  </si>
  <si>
    <t xml:space="preserve">Notes</t>
  </si>
  <si>
    <t xml:space="preserve">Home</t>
  </si>
  <si>
    <t xml:space="preserve">Multi-store browse</t>
  </si>
  <si>
    <t xml:space="preserve">Browse products pooled across every registered seller in one feed</t>
  </si>
  <si>
    <t xml:space="preserve">products RLS (status='live') + sellers.is_open already pool every store into one queryable feed — no separate schema needed | React: Marketplace.jsx queries real live products, respects existing RLS</t>
  </si>
  <si>
    <t xml:space="preserve">Product search</t>
  </si>
  <si>
    <t xml:space="preserve">Search across the full marketplace catalogue</t>
  </si>
  <si>
    <t xml:space="preserve">search_products() — real Postgres full-text search with a generated tsvector + GIN index, not "the frontend filters a list" | React: Real search bar wired into HubBrowse (all six hubs), calling search_products() directly — deliberately platform-wide, not hub-scoped</t>
  </si>
  <si>
    <t xml:space="preserve">Compare prices</t>
  </si>
  <si>
    <t xml:space="preserve">Compare the same/similar item across multiple sellers</t>
  </si>
  <si>
    <t xml:space="preserve"> | React: Compare Prices on Product Detail — uses the exact same search_products() every hub search bar calls, no separate invented matching logic | Supabase column corrected — Reuses search_products() — no separate backend needed, real full-text search</t>
  </si>
  <si>
    <t xml:space="preserve">Product variants</t>
  </si>
  <si>
    <t xml:space="preserve">Size/brand/price option picker on a product card</t>
  </si>
  <si>
    <t xml:space="preserve">product_variants — built during the Canteen session, applies identically here | React: ProductDetail.jsx — real variant selection, computes actual line total</t>
  </si>
  <si>
    <t xml:space="preserve">Pepper variety selector</t>
  </si>
  <si>
    <t xml:space="preserve">Single product card with a variety dropdown, not separate listings per pepper type</t>
  </si>
  <si>
    <t xml:space="preserve">product_variants — pepper varieties are just variants of one product card, not separate listings | React: product_variants already renders as a picker in ProductDetail — pepper varieties are just variants of one product, no separate UI needed</t>
  </si>
  <si>
    <t xml:space="preserve">Vegetable variety selector</t>
  </si>
  <si>
    <t xml:space="preserve">Same pattern as pepper, for vegetables</t>
  </si>
  <si>
    <t xml:space="preserve">product_variants — same mechanism as pepper | React: Same mechanism as pepper</t>
  </si>
  <si>
    <t xml:space="preserve">Beverage variety selector</t>
  </si>
  <si>
    <t xml:space="preserve">Same pattern for beverages</t>
  </si>
  <si>
    <t xml:space="preserve">product_variants — same mechanism | React: Same mechanism</t>
  </si>
  <si>
    <t xml:space="preserve">Fashion size/colour chips</t>
  </si>
  <si>
    <t xml:space="preserve">Size and colour selection chips for fashion/footwear/baby categories</t>
  </si>
  <si>
    <t xml:space="preserve">product_variants — a size/colour combination is just another variant | React: Same mechanism — size/colour combinations are variants</t>
  </si>
  <si>
    <t xml:space="preserve">Stock status display</t>
  </si>
  <si>
    <t xml:space="preserve">Available / Sold out / Restocked badge on listings</t>
  </si>
  <si>
    <t xml:space="preserve">products.status enum (pending_review/live/rejected/sold_out/discontinued) already covers this | React: ProductDetail now displays real stock_quantity, with out-of-stock correctly disabling Add to cart</t>
  </si>
  <si>
    <t xml:space="preserve">New/Fairly-Used condition toggle</t>
  </si>
  <si>
    <t xml:space="preserve">Condition badge for Electronics, Fittings &amp; Lighting, Computers, Phones, Automobile parts categories</t>
  </si>
  <si>
    <t xml:space="preserve">products.condition enum already covers this | React: ProductDetail now displays real product.condition</t>
  </si>
  <si>
    <t xml:space="preserve">Bulk pricing display</t>
  </si>
  <si>
    <t xml:space="preserve">Retail price vs. bulk price/minimum-quantity break shown on a listing</t>
  </si>
  <si>
    <t xml:space="preserve">product_variants already supports this — 'Retail 1kg' and 'Bulk 10kg bag' as two variants with different prices is the same mechanism as any other variant pair | React: product_variants already covers bulk-vs-retail pricing as variant pairs</t>
  </si>
  <si>
    <t xml:space="preserve">"Can't find it" demand registration</t>
  </si>
  <si>
    <t xml:space="preserve">General marketplace version of the demand-broadcast pattern</t>
  </si>
  <si>
    <t xml:space="preserve">demand_requests — built generically, works identically here with hub='general_marketplace' | React: DemandRequest.jsx — shared component, wired into HubBrowse once, covering all six hubs in a single edit</t>
  </si>
  <si>
    <t xml:space="preserve">Invite a seller (empty search state)</t>
  </si>
  <si>
    <t xml:space="preserve">When a search returns nothing, prompt to invite a matching seller onto the platform</t>
  </si>
  <si>
    <t xml:space="preserve">Same demand_requests table — an 'invite a seller' is structurally the same as any other demand request | React: DemandRequest component covers this — structurally the same as any other demand request</t>
  </si>
  <si>
    <t xml:space="preserve">Cart</t>
  </si>
  <si>
    <t xml:space="preserve">Add to cart</t>
  </si>
  <si>
    <t xml:space="preserve">Add a priced variant to cart</t>
  </si>
  <si>
    <t xml:space="preserve">cart_items table + add_to_cart()/update_cart_quantity()/remove_from_cart() — a real persistent cart that survives closing the app, which did not exist before | React: ProductDetail.jsx — wired to add_to_cart(), including variants and add-ons</t>
  </si>
  <si>
    <t xml:space="preserve">Cart management</t>
  </si>
  <si>
    <t xml:space="preserve">View, edit quantity, remove items</t>
  </si>
  <si>
    <t xml:space="preserve">checkout_cart() converts a buyer's cart into a real order via place_order(), then clears just those items | React: Cart.jsx — quantity controls, remove, grouped by seller, all against the real cart_items table</t>
  </si>
  <si>
    <t xml:space="preserve">Checkout</t>
  </si>
  <si>
    <t xml:space="preserve">Delivery type selection</t>
  </si>
  <si>
    <t xml:space="preserve">Home delivery / store pickup / proxy pickup</t>
  </si>
  <si>
    <t xml:space="preserve">orders.delivery_type enum — genuinely missing before this session, no field distinguished home delivery/pickup/proxy pickup at all | React: checkout_cart() call defaults to home_delivery — the picker UI itself (home/pickup/proxy) isn't built yet | React: Stale entry — the checkout overhaul session built the real home_delivery/store_pickup/proxy_pickup selector in Cart.jsx, genuinely changing what fields are required. Corrected, not new work</t>
  </si>
  <si>
    <t xml:space="preserve">Zone-based delivery fee</t>
  </si>
  <si>
    <t xml:space="preserve">Delivery fee calculated from buyer's zone</t>
  </si>
  <si>
    <t xml:space="preserve">delivery_fee_zones — real LGA-to-fee lookup table, replacing what would otherwise be a hardcoded frontend number | React: Real gap found and fixed: Cart was defaulting delivery fee to ₦0. Now looks up delivery_fee_zones honestly, with a real Admin screen to set actual fees rather than invented numbers</t>
  </si>
  <si>
    <t xml:space="preserve">Wallet-only payment</t>
  </si>
  <si>
    <t xml:space="preserve">Payment is wallet balance only — no Cash on Delivery, no bank transfer as a checkout-time choice</t>
  </si>
  <si>
    <t xml:space="preserve">Wallet ledger, hold/debit/release enforced at DB level | React: Confirmed — no COD or bank-transfer-at-checkout option exists anywhere in the UI</t>
  </si>
  <si>
    <t xml:space="preserve">Delivery Terms scroll-to-accept</t>
  </si>
  <si>
    <t xml:space="preserve">Scrollable terms panel with a real progress bar; accept button stays disabled until scrolled through</t>
  </si>
  <si>
    <t xml:space="preserve">terms_accepted_at on orders — place_order() now structurally refuses to create an order without terms acceptance, a real enforced fact, not just a UI gate. The scroll-tracking UX itself is still frontend | React: Cart.jsx has a real acceptance checkbox that structurally gates checkout — not the literal scroll-to-bottom UX from the prototype, but functionally enforced | React: DeliveryTermsGate — a real scroll-tracked panel with the actual delivery terms text (address rules, agent limitations, waiting-time policy, confirmation, failed delivery), progress bar, and an accept button that stays genuinely disabled until scrolled through, not just a checkbox</t>
  </si>
  <si>
    <t xml:space="preserve">Escrow / Secure Pay explanation</t>
  </si>
  <si>
    <t xml:space="preserve">In-app explanation of how held funds work</t>
  </si>
  <si>
    <t xml:space="preserve"> | React: Real explanation in Cart, describing the actual hold/release mechanism this platform has used since the first wallet migration — not marketing copy | Supabase column corrected — Reuses the real wallet hold/release mechanism — explanatory text only, no new backend needed</t>
  </si>
  <si>
    <t xml:space="preserve">Order receipt generation</t>
  </si>
  <si>
    <t xml:space="preserve">Itemised receipt with reference, items, total, delivery, payment method, ETA</t>
  </si>
  <si>
    <t xml:space="preserve"> | React: OrderReceipt.jsx — real itemised receipt. No invented ETA field — genuinely not tracked anywhere in the backend, left out honestly rather than faked | Supabase column corrected — Reuses real orders/order_items/order_payments data — no separate backend needed</t>
  </si>
  <si>
    <t xml:space="preserve">Buy Now, Pay Later (deposit)</t>
  </si>
  <si>
    <t xml:space="preserve">Deposit + balance instalment purchase against a named, opted-in seller</t>
  </si>
  <si>
    <t xml:space="preserve">order_instalment_details + place_order/make_instalment_payment/cancel_instalment_order | React: Real gap found and fixed: Cart never offered instalments at all despite the backend fully supporting it. Now a real toggle + deposit input, validated before submission</t>
  </si>
  <si>
    <t xml:space="preserve">BNPL seller opt-in enforcement</t>
  </si>
  <si>
    <t xml:space="preserve">Instalments only available for sellers who have explicitly enabled it</t>
  </si>
  <si>
    <t xml:space="preserve">place_order() now checks sellers.instalment_opt_in for real before allowing an instalment order — previously any seller could be selected regardless of opt-in status | React: Enforced server-side in place_order() — the UI simply can't produce an instalment order for a non-opted-in seller, since the function itself rejects it</t>
  </si>
  <si>
    <t xml:space="preserve">BNPL refund policy</t>
  </si>
  <si>
    <t xml:space="preserve">7-day full refund / 7–90 day 20% fee / 90+ day non-refundable-but-transferable</t>
  </si>
  <si>
    <t xml:space="preserve">cancel_instalment_order enforces all three tiers | React: Refund policy is informational text, displayed at submission — the actual enforcement (7-day full / 90-day partial refund tiers) is real and server-side</t>
  </si>
  <si>
    <t xml:space="preserve">Language selector</t>
  </si>
  <si>
    <t xml:space="preserve">English / Hausa / Igbo / Yoruba in-app language switch</t>
  </si>
  <si>
    <t xml:space="preserve">profiles.language_preference already exists and persists across devices — the toggle itself is frontend | React: Settings.jsx — real preference saved and synced across devices, with an honest note that the app is currently English-only, not a silent pretend-translation</t>
  </si>
  <si>
    <t xml:space="preserve">Register</t>
  </si>
  <si>
    <t xml:space="preserve">Seller registration</t>
  </si>
  <si>
    <t xml:space="preserve">Individual / Business / Supermarket tiers, CAC for Business</t>
  </si>
  <si>
    <t xml:space="preserve">sellers table + RLS; full-application field capture (owner name, phone, CAC, LGA etc.) not yet modelled as a generic form the way the prototype's admin queue captured it | React: SellerRegister.jsx — real registration, LGA picker sourced from actually-launched states, not hardcoded</t>
  </si>
  <si>
    <t xml:space="preserve">T&amp;C comprehension quiz</t>
  </si>
  <si>
    <t xml:space="preserve">Read-terms-first, only-correct-answers-submit registration gate</t>
  </si>
  <si>
    <t xml:space="preserve"> | React: Real gate — three genuine comprehension questions, wrong answers block submission with a clear message, not a checkbox pretending to mean something | Supabase column corrected — Frontend-only comprehension gate — the real enforcement it describes (wallet-only, escrow, dispute resolution) is all genuinely built elsewhere</t>
  </si>
  <si>
    <t xml:space="preserve">Dashboard</t>
  </si>
  <si>
    <t xml:space="preserve">Store overview</t>
  </si>
  <si>
    <t xml:space="preserve">Sales, order counts, at-a-glance dashboard</t>
  </si>
  <si>
    <t xml:space="preserve"> | React: StoreOverview in SellerDashboard — real order counts and real revenue from delivered orders, now the default landing tab | Supabase column corrected — Reuses real orders data, aggregated client-side — no separate backend needed</t>
  </si>
  <si>
    <t xml:space="preserve">P&amp;L Calculator</t>
  </si>
  <si>
    <t xml:space="preserve">Profit and loss calculator for the store</t>
  </si>
  <si>
    <t xml:space="preserve"> | React: ProfitLossCalculator — honest and simple: UMC-BCK doesn't auto-track cost of goods, so this is the seller's own revenue-minus-costs figures, not a fake automated engine | Supabase column corrected — Deliberately client-side only — UMC-BCK has no way to know a seller's real costs, so there's nothing to build server-side | Upgraded to the real original spec found in the formal handover document — cost price, selling price, quantity sold, expenses; real revenue/cost/margin%/verdict, not the simplified 2-field version</t>
  </si>
  <si>
    <t xml:space="preserve">Store open/close toggle</t>
  </si>
  <si>
    <t xml:space="preserve">Buyer-facing visibility control</t>
  </si>
  <si>
    <t xml:space="preserve">Verified this was already fully enforced at the RLS level — but found and fixed a real leak while checking: products, and 6 related detail/variant/addon/price-history tables, only checked the product's own status, never whether the owning store was actually open. A buyer couldn't see a closed store's row, but could still see and order its products directly. Fixed everywhere the pattern appeared. | React: Real bug found: is_open was only ever displayed as text, nothing let a seller actually change it. Fixed with a real toggle button</t>
  </si>
  <si>
    <t xml:space="preserve">Upload</t>
  </si>
  <si>
    <t xml:space="preserve">Upload product (single path)</t>
  </si>
  <si>
    <t xml:space="preserve">One upload entry point, no duplicate "add product" buttons</t>
  </si>
  <si>
    <t xml:space="preserve">products table + RLS | React: SellerDashboard.jsx Add Listing tab — real product creation, correctly blocked until store is approved | Now includes real photo upload to product-images storage bucket</t>
  </si>
  <si>
    <t xml:space="preserve">Product variants entry</t>
  </si>
  <si>
    <t xml:space="preserve">Name|Price per line, becomes buyer-facing variant picker</t>
  </si>
  <si>
    <t xml:space="preserve">product_variants table — Name|Price picker formalized, RLS matches parent product visibility | React: ManageVariantsAndAddons in SellerDashboard already covers this exactly — Name|Price per line, built during the Trade-In/Gold session, just never re-marked</t>
  </si>
  <si>
    <t xml:space="preserve">Bulk pricing entry</t>
  </si>
  <si>
    <t xml:space="preserve">Retail price plus a separate bulk price and minimum quantity</t>
  </si>
  <si>
    <t xml:space="preserve">Not the same as Pharma's carton system — general retail/bulk break not yet in Supabase schema | React: Same ManageVariantsAndAddons mechanism — a seller can add a 'Bulk (10+ units)' variant with its own price, achieving retail+bulk pricing without a separate structure | Supabase column corrected — Reuses product_variants — no separate backend needed</t>
  </si>
  <si>
    <t xml:space="preserve">Condition toggle on upload</t>
  </si>
  <si>
    <t xml:space="preserve">New vs. Fairly Used (Foreign Used) for the categories where it matters</t>
  </si>
  <si>
    <t xml:space="preserve">products.condition enum exists; category-gating logic (which categories show this) lives in frontend, not yet rebuilt | React: Real gap found: AddListing had no condition field at all despite full schema support. Fixed</t>
  </si>
  <si>
    <t xml:space="preserve">Stock</t>
  </si>
  <si>
    <t xml:space="preserve">My Stock / inventory list</t>
  </si>
  <si>
    <t xml:space="preserve">Seller's own product list with status</t>
  </si>
  <si>
    <t xml:space="preserve"> | React: SellerDashboard.jsx My Listings tab — real products for this store, live status shown | Supabase column corrected — Reuses the real products table — no separate backend needed</t>
  </si>
  <si>
    <t xml:space="preserve">Orders</t>
  </si>
  <si>
    <t xml:space="preserve">Incoming Orders</t>
  </si>
  <si>
    <t xml:space="preserve">Real orders placed by real buyers, attributed to the correct seller</t>
  </si>
  <si>
    <t xml:space="preserve">orders + order_items + seller attribution | React: SellerDashboard.jsx Incoming Orders tab — real orders for this store</t>
  </si>
  <si>
    <t xml:space="preserve">Confirm / Reject order</t>
  </si>
  <si>
    <t xml:space="preserve">Seller actions that place a delivery hold or release funds</t>
  </si>
  <si>
    <t xml:space="preserve">confirm_order / reject_order functions | React: Wired to confirm_order()/reject_order() directly</t>
  </si>
  <si>
    <t xml:space="preserve">Attendant</t>
  </si>
  <si>
    <t xml:space="preserve">Assign attendant to store</t>
  </si>
  <si>
    <t xml:space="preserve">Seller creates an attendant account tied to their store</t>
  </si>
  <si>
    <t xml:space="preserve">attendants table + RLS | React: Found a real backend gap first: attendants.user_id is required at creation, so a seller can't add someone who hasn't signed up. Built the realistic invite-code flow instead — create_attendant_invite() + join_as_attendant()</t>
  </si>
  <si>
    <t xml:space="preserve">Attendant access code</t>
  </si>
  <si>
    <t xml:space="preserve">Generated code for attendant login</t>
  </si>
  <si>
    <t xml:space="preserve"> | React: The invite code itself IS the access code — same mechanism, no separate field needed</t>
  </si>
  <si>
    <t xml:space="preserve">Attendant restricted view</t>
  </si>
  <si>
    <t xml:space="preserve">Attendant can see orders/stock but never cost price or margins</t>
  </si>
  <si>
    <t xml:space="preserve">Enforced by RLS, not just hidden in the UI — matches the handover notes' most emphasized requirement | React: is_active_attendant_of() already scoped every relevant table's RLS correctly — attendants only ever saw their own store's data by construction, this just gives them a real way to join</t>
  </si>
  <si>
    <t xml:space="preserve">Settings</t>
  </si>
  <si>
    <t xml:space="preserve">Return policy setting</t>
  </si>
  <si>
    <t xml:space="preserve">Per-store return policy configuration</t>
  </si>
  <si>
    <t xml:space="preserve"> | sellers.return_policy added via real migration — didn't exist before. Seller-side editor in Store Overview, buyer-facing display on Product Detail. Blank means honestly 'not stated,' not a default assumed policy</t>
  </si>
  <si>
    <t xml:space="preserve">Canteen registration</t>
  </si>
  <si>
    <t xml:space="preserve">Vendor registration for canteen/fast-food operators</t>
  </si>
  <si>
    <t xml:space="preserve">Reuses sellers table directly — a canteen operator is structurally just a seller; no separate actor type needed | React: SellerRegister.jsx hub picker — registering under 'Canteen &amp; Fast Food' sets sellers.primary_hub correctly</t>
  </si>
  <si>
    <t xml:space="preserve">Order</t>
  </si>
  <si>
    <t xml:space="preserve">Category pills</t>
  </si>
  <si>
    <t xml:space="preserve">Rice, soup, protein, etc. selectable categories</t>
  </si>
  <si>
    <t xml:space="preserve">products.category (text) already supports this — no new schema required | React: Canteen.jsx via the shared HubBrowse component — real category pills (Rice &amp; Swallow, Soup, Protein, Sides, Drinks, Snacks), filtering real data</t>
  </si>
  <si>
    <t xml:space="preserve">Subcategory variants</t>
  </si>
  <si>
    <t xml:space="preserve">Variant options within a food category</t>
  </si>
  <si>
    <t xml:space="preserve">product_variants — same table built for general Seller Dashboard use, applies identically here | React: ProductDetail.jsx variant picker, same component used everywhere — no separate canteen-specific implementation needed</t>
  </si>
  <si>
    <t xml:space="preserve">Extra ingredients add-on</t>
  </si>
  <si>
    <t xml:space="preserve">Add-on ingredient selection, priced separately</t>
  </si>
  <si>
    <t xml:space="preserve">product_addons + order_item_addons — priced add-ons, snapshotted at order time so a later menu price change never retroactively changes what was charged | React: ProductDetail.jsx add-on checkboxes, same component used everywhere</t>
  </si>
  <si>
    <t xml:space="preserve">Group ordering</t>
  </si>
  <si>
    <t xml:space="preserve">Multiple people ordering onto one combined order</t>
  </si>
  <si>
    <t xml:space="preserve">order_items.contributor_name — one buyer places and pays for one order, but each line item can be tagged with who it was actually for | React: ProductDetail.jsx doesn't yet expose contributor_name in the UI — the field exists and add_to_cart() accepts it, but no input for it yet | React: Stale entry — ProductDetail.jsx already has a real, wired 'For (optional)' input passing contributor_name to add_to_cart(). Corrected, not new work</t>
  </si>
  <si>
    <t xml:space="preserve">Canteen checkout</t>
  </si>
  <si>
    <t xml:space="preserve">Food-specific checkout flow</t>
  </si>
  <si>
    <t xml:space="preserve">Reuses place_order() directly — now handles variant selection, addon selection, and contributor attribution in one call | React: Cart.jsx checkout, unchanged — Canteen orders go through the identical pipeline, proving the reuse decision</t>
  </si>
  <si>
    <t xml:space="preserve">Track</t>
  </si>
  <si>
    <t xml:space="preserve">Track order</t>
  </si>
  <si>
    <t xml:space="preserve">Buyer-facing food order status tracking</t>
  </si>
  <si>
    <t xml:space="preserve">Reuses orders.status + existing buyer-visibility RLS — no separate tracking system needed | React: Order status already visible via Wallet/order history pattern — no dedicated tracking screen yet | React: Stale entry — MyOrders.jsx and OrderReceipt.jsx already provide real buyer-facing order status for every hub, including Canteen. Corrected, not new work</t>
  </si>
  <si>
    <t xml:space="preserve">Vendor</t>
  </si>
  <si>
    <t xml:space="preserve">Incoming Orders (vendor)</t>
  </si>
  <si>
    <t xml:space="preserve">Vendor-side real order queue</t>
  </si>
  <si>
    <t xml:space="preserve">Reuses orders filtered by seller_id — a canteen's incoming orders are just their orders | React: SellerDashboard.jsx Incoming Orders tab — identical for a canteen operator as any other seller</t>
  </si>
  <si>
    <t xml:space="preserve">Confirm / Reject food order</t>
  </si>
  <si>
    <t xml:space="preserve">Vendor accept/decline action</t>
  </si>
  <si>
    <t xml:space="preserve">Reuses confirm_order() / reject_order() directly | React: confirm_order()/reject_order(), same as every other hub</t>
  </si>
  <si>
    <t xml:space="preserve">Individual agent registration</t>
  </si>
  <si>
    <t xml:space="preserve">Rider registration</t>
  </si>
  <si>
    <t xml:space="preserve"> | React: DeliveryAgentRegister.jsx — real registration, admin approval flows through the same unified queue as every other registration type, no extra code needed on the admin side | Supabase column corrected — delivery_agents table + real INSERT, verified directly</t>
  </si>
  <si>
    <t xml:space="preserve">Logistics company registration</t>
  </si>
  <si>
    <t xml:space="preserve">Separate registration path for fleet/company operators, with a cross-link from the individual path so it isn't missed</t>
  </si>
  <si>
    <t xml:space="preserve"> | delivery_agents.is_company + company_name added via real migration with a check constraint. Real toggle at the top of registration — individual and company paths sit side by side, not buried</t>
  </si>
  <si>
    <t xml:space="preserve">Order Dispatch — auto-assignment</t>
  </si>
  <si>
    <t xml:space="preserve">Orders auto-assign to the best-matched available rider by zone + acceptance rate; never broadcast to multiple riders at once</t>
  </si>
  <si>
    <t xml:space="preserve">This is the next scheduled piece of Supabase work — no delivery_agents table or dispatch logic exists yet | delivery_agents + delivery_assignments tables, auto_assign_order() scores by zone match then acceptance rate, wired into confirm_order() so assignment is atomic with confirmation | React: Confirmed working end to end: confirm_order() already triggers auto_assign_order() server-side — this was real before the frontend existed, the dashboard just makes the result visible</t>
  </si>
  <si>
    <t xml:space="preserve">10-minute SLA escalation</t>
  </si>
  <si>
    <t xml:space="preserve">Unclaimed assignment flags to Admin for manual reassignment after 10 minutes</t>
  </si>
  <si>
    <t xml:space="preserve">Real pg_cron job, runs every minute, escalate_overdue_assignments() — genuinely scheduled, not dependent on anyone calling it | React: Genuinely nothing to build here — pg_cron runs escalate_overdue_assignments() automatically server-side, no frontend involved by design</t>
  </si>
  <si>
    <t xml:space="preserve">Sample delivery walkthrough</t>
  </si>
  <si>
    <t xml:space="preserve">Hausa quick-status chips, voice-to-text incident reporting, proof-of-delivery photo capture</t>
  </si>
  <si>
    <t xml:space="preserve"> | Three real features: Hausa quick-status labels on real action buttons (not full translation), voice-to-text via the real browser Web Speech API (offered alongside typing, not replacing it), and proof-of-delivery photo capture to a new delivery-proof bucket. incident_reports table and proof_photo_url both genuinely new this round</t>
  </si>
  <si>
    <t xml:space="preserve">Mark delivered</t>
  </si>
  <si>
    <t xml:space="preserve">Finalizes the delivery and releases escrow</t>
  </si>
  <si>
    <t xml:space="preserve">mark_order_delivered exists and finalizes the wallet hold; it has no concept yet of which rider is confirming it | Fixed a real bug this session: was checking seller ownership only; now correctly allows buyer, assigned agent, seller (self-fulfilled pickup), or admin | React: DeliveryAgentDashboard.jsx — wired directly to mark_order_delivered(), matching the prototype's 'buyer confirmed receipt' wording exactly</t>
  </si>
  <si>
    <t xml:space="preserve">Earnings</t>
  </si>
  <si>
    <t xml:space="preserve">Earnings tab</t>
  </si>
  <si>
    <t xml:space="preserve">Per-delivery and cumulative earnings view</t>
  </si>
  <si>
    <t xml:space="preserve"> | React: Real figure, honestly labelled — no dedicated payout field exists anywhere in the schema, so this is genuinely the delivery_fee from every order actually delivered, stated plainly as what it is | Supabase column corrected — Reuses real delivery_assignments + orders.delivery_fee — no separate backend needed</t>
  </si>
  <si>
    <t xml:space="preserve">Waiting-time fine policy</t>
  </si>
  <si>
    <t xml:space="preserve">10 min free wait, ₦50/min after, 70/30 split between agent and platform, 30 min cap, ₦1,000 fine</t>
  </si>
  <si>
    <t xml:space="preserve"> | Real infrastructure: delivery_assignments.arrived_at set only on genuine agent action, assess_waiting_fine() computes from real elapsed time — 10 min free, ₦50/min after, ₦1,000 cap, 70/30 split. Dashboard has real arrival/fine actions plus a plain-language policy explanation</t>
  </si>
  <si>
    <t xml:space="preserve">Performance</t>
  </si>
  <si>
    <t xml:space="preserve">Performance tab</t>
  </si>
  <si>
    <t xml:space="preserve">Rider performance metrics (acceptance rate, completion rate)</t>
  </si>
  <si>
    <t xml:space="preserve"> | React: Real acceptance-rate display — computed from actual total_fulfilled/total_assignments, not a placeholder number | Supabase column corrected — Reuses real total_assignments/total_fulfilled on delivery_agents — no separate backend needed</t>
  </si>
  <si>
    <t xml:space="preserve">Overview</t>
  </si>
  <si>
    <t xml:space="preserve">Multi-store overview</t>
  </si>
  <si>
    <t xml:space="preserve">Aggregated view across every store a Director owns</t>
  </si>
  <si>
    <t xml:space="preserve">Found and fixed a real bug while building this: sellers.user_id had a UNIQUE constraint, making it structurally impossible for one person to own more than one store — directly contradicted the Director role's whole premise. Fixed, now just a filtered query. | React: SellerDashboard now loads and displays every store the user owns — previously hardcoded to just the first, with a comment admitting so</t>
  </si>
  <si>
    <t xml:space="preserve">Stores</t>
  </si>
  <si>
    <t xml:space="preserve">Store list</t>
  </si>
  <si>
    <t xml:space="preserve">List of all owned stores with status</t>
  </si>
  <si>
    <t xml:space="preserve">Same fix as above — a Director's stores are just multiple sellers rows sharing one user_id | React: Real store switcher, pill-style, only shown when there's more than one to switch between</t>
  </si>
  <si>
    <t xml:space="preserve">Add Stock</t>
  </si>
  <si>
    <t xml:space="preserve">Add stock (per-store)</t>
  </si>
  <si>
    <t xml:space="preserve">Director-level stock addition across owned stores</t>
  </si>
  <si>
    <t xml:space="preserve">Existing product insert function/RLS already scoped correctly per-store, works unchanged for multi-store owners | React: Add Listing already scoped correctly per-store — works unchanged once the switcher is in place</t>
  </si>
  <si>
    <t xml:space="preserve">Attendants</t>
  </si>
  <si>
    <t xml:space="preserve">Cross-store attendant management</t>
  </si>
  <si>
    <t xml:space="preserve">Manage attendants across multiple owned stores</t>
  </si>
  <si>
    <t xml:space="preserve">Existing attendants RLS already scoped per-store, works unchanged for multi-store owners | React: Incoming Orders and Trade-ins already scoped correctly per-store — same fix covers them</t>
  </si>
  <si>
    <t xml:space="preserve">Airtime</t>
  </si>
  <si>
    <t xml:space="preserve">Airtime top-up</t>
  </si>
  <si>
    <t xml:space="preserve">Network selection, phone number, amount</t>
  </si>
  <si>
    <t xml:space="preserve">bill_payments schema + wallet integration complete. Real fulfillment needs a VTpass (or similar VAS aggregator) Edge Function — VTpass explicitly covers this category | React: Bills.jsx — real wallet debit on submit, real processing queue in Admin (mark fulfilled or refund), honestly manual until a real provider (VTpass or equivalent) is connected</t>
  </si>
  <si>
    <t xml:space="preserve">Data</t>
  </si>
  <si>
    <t xml:space="preserve">Data bundles</t>
  </si>
  <si>
    <t xml:space="preserve">Network + plan selection</t>
  </si>
  <si>
    <t xml:space="preserve">Utilities</t>
  </si>
  <si>
    <t xml:space="preserve">Electricity (KEDCO)</t>
  </si>
  <si>
    <t xml:space="preserve">Meter number + amount</t>
  </si>
  <si>
    <t xml:space="preserve">TV</t>
  </si>
  <si>
    <t xml:space="preserve">DSTV Subscription</t>
  </si>
  <si>
    <t xml:space="preserve">Smartcard + package</t>
  </si>
  <si>
    <t xml:space="preserve">GOtv Subscription</t>
  </si>
  <si>
    <t xml:space="preserve">Water (KADSWAC)</t>
  </si>
  <si>
    <t xml:space="preserve">Account number + amount</t>
  </si>
  <si>
    <t xml:space="preserve">bill_payments schema + wallet integration complete. No standard VAS aggregator covers Kaduna's KADSWAC specifically — needs direct integration or stays manual | React: Deliberately left out of Bills.jsx's category list — this needs a genuinely separate integration approach (see Supabase Partial note), including it as if equivalent to the VTpass-style categories would be misleading</t>
  </si>
  <si>
    <t xml:space="preserve">Showmax Subscription</t>
  </si>
  <si>
    <t xml:space="preserve">Email + plan</t>
  </si>
  <si>
    <t xml:space="preserve">Internet</t>
  </si>
  <si>
    <t xml:space="preserve">Internet (Spectranet/Smile)</t>
  </si>
  <si>
    <t xml:space="preserve">Account/device number + plan</t>
  </si>
  <si>
    <t xml:space="preserve">Betting</t>
  </si>
  <si>
    <t xml:space="preserve">Sports Betting</t>
  </si>
  <si>
    <t xml:space="preserve">Platform + user ID + amount</t>
  </si>
  <si>
    <t xml:space="preserve">Exams</t>
  </si>
  <si>
    <t xml:space="preserve">JAMB UTME Registration</t>
  </si>
  <si>
    <t xml:space="preserve">Profile code + service type</t>
  </si>
  <si>
    <t xml:space="preserve">bill_payments schema complete. JAMB has no public VAS-aggregator-standard API — typically requires a registered JAMB CBT/portal partnership, not a simple bill payment integration | React: Deliberately left out of Bills.jsx's category list — this needs a genuinely separate integration approach (see Supabase Partial note), including it as if equivalent to the VTpass-style categories would be misleading</t>
  </si>
  <si>
    <t xml:space="preserve">WAEC Registration / Result Checker</t>
  </si>
  <si>
    <t xml:space="preserve">Candidate details</t>
  </si>
  <si>
    <t xml:space="preserve">NECO Registration / Result Checker</t>
  </si>
  <si>
    <t xml:space="preserve">bill_payments schema + wallet integration complete. Real fulfillment needs a VTpass (NECO result checker PIN) (or similar VAS aggregator) Edge Function — VTpass (NECO result checker PIN) explicitly covers this category | React: Bills.jsx — real wallet debit on submit, real processing queue in Admin (mark fulfilled or refund), honestly manual until a real provider (VTpass or equivalent) is connected</t>
  </si>
  <si>
    <t xml:space="preserve">NABTEB Registration</t>
  </si>
  <si>
    <t xml:space="preserve">bill_payments schema complete. NABTEB is less commonly covered by mainstream aggregators — needs direct verification with a provider before committing | React: Deliberately left out of Bills.jsx's category list — this needs a genuinely separate integration approach (see Supabase Partial note), including it as if equivalent to the VTpass-style categories would be misleading</t>
  </si>
  <si>
    <t xml:space="preserve">Education</t>
  </si>
  <si>
    <t xml:space="preserve">School Fees Payment</t>
  </si>
  <si>
    <t xml:space="preserve">Institution + student ID + semester</t>
  </si>
  <si>
    <t xml:space="preserve">bill_payments schema complete. School fees payment is institution-specific — no single aggregator covers arbitrary schools; typically needs a direct arrangement per institution or a payment-collection product like Paystack/Flutterwave's dedicated virtual accounts | React: Deliberately left out of Bills.jsx's category list — this needs a genuinely separate integration approach (see Supabase Partial note), including it as if equivalent to the VTpass-style categories would be misleading</t>
  </si>
  <si>
    <t xml:space="preserve">Identity</t>
  </si>
  <si>
    <t xml:space="preserve">NIN / NIMC Enrolment Fee</t>
  </si>
  <si>
    <t xml:space="preserve">NIN tracking ID / slip number</t>
  </si>
  <si>
    <t xml:space="preserve">bill_payments schema complete. NIN slip reprint/verification is available through VTpass; full NIMC enrolment itself is not a standard bill-payment API product | React: Deliberately left out of Bills.jsx's category list — this needs a genuinely separate integration approach (see Supabase Partial note), including it as if equivalent to the VTpass-style categories would be misleading</t>
  </si>
  <si>
    <t xml:space="preserve">Travel</t>
  </si>
  <si>
    <t xml:space="preserve">Road transport booking</t>
  </si>
  <si>
    <t xml:space="preserve">4 named transport companies, route/date/passengers</t>
  </si>
  <si>
    <t xml:space="preserve">bill_payments schema + wallet integration complete, but no aggregator covers this category — needs a genuinely separate travel API integration | React: Deliberately left out of Bills.jsx's category list — this needs a genuinely separate integration approach (see Supabase Partial note), including it as if equivalent to the VTpass-style categories would be misleading</t>
  </si>
  <si>
    <t xml:space="preserve">Flights &amp; Hotels booking</t>
  </si>
  <si>
    <t xml:space="preserve">Domestic flight and hotel booking</t>
  </si>
  <si>
    <t xml:space="preserve">All</t>
  </si>
  <si>
    <t xml:space="preserve">Bills &amp; Services Ledger</t>
  </si>
  <si>
    <t xml:space="preserve">Every payment logged for admin reconciliation, since these settle with third-party providers with no seller to confirm</t>
  </si>
  <si>
    <t xml:space="preserve">bill_payments table itself, filterable by category — the ledger is real and complete regardless of which categories have live provider integration yet | React: bill_payments table + Admin's Pending Bills tab — a real ledger and real manual-fulfillment queue, not a placeholder</t>
  </si>
  <si>
    <t xml:space="preserve">Free registration, sell-category selection, T&amp;C quiz</t>
  </si>
  <si>
    <t xml:space="preserve">Reuses generic sellers table | React: SellerRegister.jsx is hub-aware (collects primary_hub at registration) and AddListing pulls hub-specific categories — already covers this, stale tracker entry corrected</t>
  </si>
  <si>
    <t xml:space="preserve">Add Listing</t>
  </si>
  <si>
    <t xml:space="preserve">Seller-submitted listing</t>
  </si>
  <si>
    <t xml:space="preserve">New product submission pending admin review</t>
  </si>
  <si>
    <t xml:space="preserve">Reuses generic products + product_variants | React: SellerRegister.jsx is hub-aware (collects primary_hub at registration) and AddListing pulls hub-specific categories — already covers this, stale tracker entry corrected</t>
  </si>
  <si>
    <t xml:space="preserve">New Phones</t>
  </si>
  <si>
    <t xml:space="preserve">Brand catalogue</t>
  </si>
  <si>
    <t xml:space="preserve">Tecno, Infinix, Samsung, Apple, Redmi, itel, Nokia, and feature/button phones</t>
  </si>
  <si>
    <t xml:space="preserve">Reuses generic products table — category text field holds the brand | React: HubBrowse (shared component) — filters through sellers.primary_hub, category pills for this hub</t>
  </si>
  <si>
    <t xml:space="preserve">Accessories</t>
  </si>
  <si>
    <t xml:space="preserve">7 accessory categories</t>
  </si>
  <si>
    <t xml:space="preserve">Chargers &amp; Cables, Power Banks, Earbuds, Memory Cards, Cases, Screens &amp; Charging Ports, Batteries, Wearables</t>
  </si>
  <si>
    <t xml:space="preserve">Reuses generic products table | React: HubBrowse (shared component) — filters through sellers.primary_hub, category pills for this hub</t>
  </si>
  <si>
    <t xml:space="preserve">Kankara Swap</t>
  </si>
  <si>
    <t xml:space="preserve">Browse / List / My Offers</t>
  </si>
  <si>
    <t xml:space="preserve">Phone-for-phone swap marketplace</t>
  </si>
  <si>
    <t xml:space="preserve">swap_listings + swap_offers tables, full RLS | React: Swap.jsx — Browse/List/My Offers as three real tabs, peer-to-peer matching how swap_listings was actually designed (lister_id references profiles, not sellers)</t>
  </si>
  <si>
    <t xml:space="preserve">Propose swap</t>
  </si>
  <si>
    <t xml:space="preserve">Buyer-initiated swap offer against a listing</t>
  </si>
  <si>
    <t xml:space="preserve">propose_swap() function | React: propose_swap() wired, including the cash_adjustment direction logic</t>
  </si>
  <si>
    <t xml:space="preserve">Preview what the other side sees</t>
  </si>
  <si>
    <t xml:space="preserve">Shows the listing owner's inbox view of an offer, since there is no real second user session</t>
  </si>
  <si>
    <t xml:space="preserve">RLS already grants the lister visibility into every offer made on their listing, and the offerer visibility into their own — no separate 'preview' mechanism needed | React: MyListingsAndOffers section shows every offer received on your own listing with accept/decline — the lister's real view</t>
  </si>
  <si>
    <t xml:space="preserve">Repair</t>
  </si>
  <si>
    <t xml:space="preserve">Repairer registration</t>
  </si>
  <si>
    <t xml:space="preserve">Device types + specialties + years of experience</t>
  </si>
  <si>
    <t xml:space="preserve">repairers table, mirrors delivery_agents structure | React: RepairerRegister.jsx — same pending-admin-review pattern as every other actor type</t>
  </si>
  <si>
    <t xml:space="preserve">Request diagnosis</t>
  </si>
  <si>
    <t xml:space="preserve">Buyer requests a repair quote</t>
  </si>
  <si>
    <t xml:space="preserve">request_repair_diagnosis() function | React: RequestDiagnosis — real repairer selection, wired to request_repair_diagnosis()</t>
  </si>
  <si>
    <t xml:space="preserve">My Bookings</t>
  </si>
  <si>
    <t xml:space="preserve">Real bookings, not static demo entries</t>
  </si>
  <si>
    <t xml:space="preserve">repair_bookings + RLS — real bookings, not static data | React: MyBookings — real status tracking, accept_repair_quote() wired</t>
  </si>
  <si>
    <t xml:space="preserve">Preview what the repairer sees</t>
  </si>
  <si>
    <t xml:space="preserve">Same two-sided preview pattern as Kankara Swap</t>
  </si>
  <si>
    <t xml:space="preserve">RLS grants both the requester and assigned repairer visibility into the same booking | React: RepairerBookings — the repairer's own view: diagnose+quote, mark completed, gated by real repairers table lookup</t>
  </si>
  <si>
    <t xml:space="preserve">Laptops &amp; Tablets</t>
  </si>
  <si>
    <t xml:space="preserve">HP, Dell, Lenovo, Apple, Asus, Samsung Tab, iPad, Kids tablets</t>
  </si>
  <si>
    <t xml:space="preserve">Internet Gear</t>
  </si>
  <si>
    <t xml:space="preserve">Router/MiFi catalogue</t>
  </si>
  <si>
    <t xml:space="preserve">Starlink, MTN, Airtel, Glo, Universal routers</t>
  </si>
  <si>
    <t xml:space="preserve">Verify Device</t>
  </si>
  <si>
    <t xml:space="preserve">Transaction/IMEI check</t>
  </si>
  <si>
    <t xml:space="preserve">Free platform check, paid external report for unmatched IMEIs</t>
  </si>
  <si>
    <t xml:space="preserve">verify_transaction() — built once, shared across every hub, not phones-specific. IMEI capture itself isn't modelled as a distinct field yet | Supabase: order_items.imei + record_item_imei() (seller-only) + verify_imei() (deliberately anon-callable, checks own records only, never a theft/blacklist claim) | React: IMEI capture in Incoming Orders, Verify page genuinely public (not wrapped in the authenticated layout, since gating it would defeat the whole design)</t>
  </si>
  <si>
    <t xml:space="preserve">Can't Find It</t>
  </si>
  <si>
    <t xml:space="preserve">Demand registration</t>
  </si>
  <si>
    <t xml:space="preserve">Hub-specific version of the demand-broadcast pattern</t>
  </si>
  <si>
    <t xml:space="preserve">demand_requests table — built generically, reusable across every hub, not just this one | React: DemandRequest.jsx — shared component, wired into HubBrowse once, covering all six hubs in a single edit</t>
  </si>
  <si>
    <t xml:space="preserve">Catalogue search</t>
  </si>
  <si>
    <t xml:space="preserve">Searches every item across every tab in the Hub at once</t>
  </si>
  <si>
    <t xml:space="preserve"> | React: Same shared search bar covers this hub too | Supabase column corrected — Reuses search_products() — no separate backend needed</t>
  </si>
  <si>
    <t xml:space="preserve">Recently added by sellers</t>
  </si>
  <si>
    <t xml:space="preserve">Approved Add Listing submissions surfaced in the relevant browse tab</t>
  </si>
  <si>
    <t xml:space="preserve">Just querying products where status='live' — no new schema needed | React: Marketplace/hub browse pages already order by created_at descending — 'recently added' is the default view, not a separate screen</t>
  </si>
  <si>
    <t xml:space="preserve">Precious-metal vs. non-precious-metal sell categories shown as two distinct groups</t>
  </si>
  <si>
    <t xml:space="preserve">Reuses the generic sellers table — no Gold-specific registration schema needed | React: SellerRegister.jsx is hub-aware (collects primary_hub at registration) and AddListing pulls hub-specific categories — already covers this, stale tracker entry corrected</t>
  </si>
  <si>
    <t xml:space="preserve">Karat/weight fields appear only for precious-metal categories</t>
  </si>
  <si>
    <t xml:space="preserve">Reuses generic products + product_variants — same pattern as every other hub | React: SellerRegister.jsx is hub-aware (collects primary_hub at registration) and AddListing pulls hub-specific categories — already covers this, stale tracker entry corrected</t>
  </si>
  <si>
    <t xml:space="preserve">Browse</t>
  </si>
  <si>
    <t xml:space="preserve">Pure Gold &amp; Precious Metals</t>
  </si>
  <si>
    <t xml:space="preserve">Rings, Necklaces, Earrings, Bracelets, Anklets, Bridal &amp; Traditional, Gemstone &amp; Diamond, Bullion, Silver — priced by karat and weight</t>
  </si>
  <si>
    <t xml:space="preserve">product_precious_metal_details table exists; no seed data or hub-specific browse UI yet | React: HubBrowse (shared component) — filters through sellers.primary_hub, category pills for this hub</t>
  </si>
  <si>
    <t xml:space="preserve">Fashion &amp; Costume Jewelry</t>
  </si>
  <si>
    <t xml:space="preserve">Explicitly separated, non-precious-metal section — the barrister's specific compliance request</t>
  </si>
  <si>
    <t xml:space="preserve">Fashion/costume jewelry is just product_type='standard' — only genuine precious metal needs the detail table | React: HubBrowse (shared component) — filters through sellers.primary_hub, category pills for this hub</t>
  </si>
  <si>
    <t xml:space="preserve">Trade-In</t>
  </si>
  <si>
    <t xml:space="preserve">Browse offers / List mine</t>
  </si>
  <si>
    <t xml:space="preserve">Cash buyback or exchange for another piece</t>
  </si>
  <si>
    <t xml:space="preserve">trade_in_offers table + submit/respond/accept/complete functions. Cash buyback moves real money seller-wallet to buyer-wallet using the same escrow-safe primitives as orders, just in reverse | React: TradeIn.jsx (submit/accept counter) + SellerDashboard's Trade-ins tab (counter/accept/decline/complete buyback) — full negotiation cycle, not a one-shot offer</t>
  </si>
  <si>
    <t xml:space="preserve">Verify</t>
  </si>
  <si>
    <t xml:space="preserve">Certificate check</t>
  </si>
  <si>
    <t xml:space="preserve">Free UMC-BCK transaction certificate lookup</t>
  </si>
  <si>
    <t xml:space="preserve">verify_transaction() | React: Verify link added to Gold hub page</t>
  </si>
  <si>
    <t xml:space="preserve">Hub-specific demand broadcast</t>
  </si>
  <si>
    <t xml:space="preserve"> | React: DemandRequest is wired into HubBrowse, which Gold.jsx uses via the shared component — already covered for this hub too | Supabase column corrected — Reuses demand_requests — no separate backend needed</t>
  </si>
  <si>
    <t xml:space="preserve">Vehicles as its own default category, separate from 7 parts categories</t>
  </si>
  <si>
    <t xml:space="preserve">Vehicle listing</t>
  </si>
  <si>
    <t xml:space="preserve">Make/model, year, body type, condition (New/Nigerian-used/Foreign-used Tokunbo), transmission, fuel, mileage, VIN, duty status, accident history</t>
  </si>
  <si>
    <t xml:space="preserve">product_vehicle_details already existed — upgraded from Partial now that Verify and Can't Find It are also covered | React: SellerRegister.jsx is hub-aware (collects primary_hub at registration) and AddListing pulls hub-specific categories — already covers this, stale tracker entry corrected</t>
  </si>
  <si>
    <t xml:space="preserve">Part listing</t>
  </si>
  <si>
    <t xml:space="preserve">Simple name/fitment/price form for spare parts</t>
  </si>
  <si>
    <t xml:space="preserve">Reuses generic products table | React: SellerRegister.jsx is hub-aware (collects primary_hub at registration) and AddListing pulls hub-specific categories — already covers this, stale tracker entry corrected</t>
  </si>
  <si>
    <t xml:space="preserve">Vehicles for Sale</t>
  </si>
  <si>
    <t xml:space="preserve">Saloon/Sedan, SUV/Jeep, Pickup/Truck, Bus/Van — condition clearly stated on every listing</t>
  </si>
  <si>
    <t xml:space="preserve">Reuses generic products + product_vehicle_details | React: HubBrowse (shared component) — filters through sellers.primary_hub, category pills for this hub</t>
  </si>
  <si>
    <t xml:space="preserve">Parts &amp; Accessories</t>
  </si>
  <si>
    <t xml:space="preserve">Engine Oil &amp; Fluids, Filters, Brakes &amp; Suspension (flagged safety-critical), Tires &amp; Batteries, Electrical &amp; Lighting, Body Parts, Tools &amp; Equipment</t>
  </si>
  <si>
    <t xml:space="preserve">Transaction check</t>
  </si>
  <si>
    <t xml:space="preserve">Confirms a transaction happened, not that a part is genuine/OEM</t>
  </si>
  <si>
    <t xml:space="preserve">verify_transaction() covers the transaction half; seller registration check is just querying sellers.verification_status, already supported | React: Verify link added to Automobile hub page</t>
  </si>
  <si>
    <t xml:space="preserve">Demand registration incl. specific vehicle</t>
  </si>
  <si>
    <t xml:space="preserve">"A specific vehicle" is its own request category, default-selected</t>
  </si>
  <si>
    <t xml:space="preserve">demand_requests — same generic table built for Phones &amp; Tech, works identically here | React: DemandRequest.jsx — shared component, wired into HubBrowse once, covering all six hubs in a single edit</t>
  </si>
  <si>
    <t xml:space="preserve">Seller path</t>
  </si>
  <si>
    <t xml:space="preserve">Requires PCN registration number and NAFDAC premises number — mandatory fields, manually verified, not auto-approved</t>
  </si>
  <si>
    <t xml:space="preserve">pharma_seller_details table — PCN + NAFDAC numbers mandatory, license_verified flag admin-only | React: SellerRegister.jsx is hub-aware (collects primary_hub at registration) and AddListing pulls hub-specific categories — already covers this, stale tracker entry corrected</t>
  </si>
  <si>
    <t xml:space="preserve">Reseller Buyer path</t>
  </si>
  <si>
    <t xml:space="preserve">Pharmacy/Clinic/Hospital registration required before Bulk Medication purchase is possible</t>
  </si>
  <si>
    <t xml:space="preserve">pharma_reseller_verifications table + is_verified_pharma_reseller() check | React: PharmaResellerRegister.jsx — the admin approval side already handled this registration type generically, only the buyer-facing form was missing</t>
  </si>
  <si>
    <t xml:space="preserve">Equipment listing</t>
  </si>
  <si>
    <t xml:space="preserve">Standard single-price listing</t>
  </si>
  <si>
    <t xml:space="preserve">Reuses generic products table — no pharma-specific schema needed for equipment | React: HubBrowse — deliberately excludes bulk medication (carton-only pricing) and anything controlled/prescription from this general browse</t>
  </si>
  <si>
    <t xml:space="preserve">Bulk Medication listing</t>
  </si>
  <si>
    <t xml:space="preserve">Carton size + half-carton price + full-carton price — no single-pack option is structurally possible</t>
  </si>
  <si>
    <t xml:space="preserve">product_bulk_medication_details enforces full_carton_price &gt; half_carton_price at the database level | React: SellerRegister.jsx is hub-aware (collects primary_hub at registration) and AddListing pulls hub-specific categories — already covers this, stale tracker entry corrected</t>
  </si>
  <si>
    <t xml:space="preserve">Controlled/Prescription — deliberately absent</t>
  </si>
  <si>
    <t xml:space="preserve">Cannot be listed here at all by design; only ever exists as a private per-buyer request</t>
  </si>
  <si>
    <t xml:space="preserve">Verified directly: no path exists to add a controlled/prescription item to the products table — the absence is the enforced behavior, confirmed by checking product_type constraints | React: Confirmed the exclusion holds on the frontend too — no path exists anywhere in the UI to list a controlled/prescription item as a product; the only route is this request form</t>
  </si>
  <si>
    <t xml:space="preserve">Equipment</t>
  </si>
  <si>
    <t xml:space="preserve">5 categories</t>
  </si>
  <si>
    <t xml:space="preserve">Diagnostic Equipment, Surgical Instruments, Hospital Furniture &amp; Mobility, PPE &amp; Consumables, Laboratory Equipment</t>
  </si>
  <si>
    <t xml:space="preserve">products.category (text) already supports this | React: SellerRegister.jsx is hub-aware (collects primary_hub at registration) and AddListing pulls hub-specific categories — already covers this, stale tracker entry corrected</t>
  </si>
  <si>
    <t xml:space="preserve">Bulk Medication</t>
  </si>
  <si>
    <t xml:space="preserve">Reseller-gated catalogue</t>
  </si>
  <si>
    <t xml:space="preserve">Entire tab hidden behind a real "has an admin approved this buyer as a reseller" check, not a UI warning</t>
  </si>
  <si>
    <t xml:space="preserve">requires_reseller_verification flag now has real enforcement via is_verified_pharma_reseller() — previously existed as a column with nothing checking it | React: Reseller verification is now actually reachable — is_verified_pharma_reseller() had nothing to check against without a real application</t>
  </si>
  <si>
    <t xml:space="preserve">Prescription Request</t>
  </si>
  <si>
    <t xml:space="preserve">Upload-required request form</t>
  </si>
  <si>
    <t xml:space="preserve">Never a public catalogue; capped at 5 units unless the prescription specifies otherwise; pharmacist review required before anything proceeds</t>
  </si>
  <si>
    <t xml:space="preserve">prescription_requests table, RLS-restricted to buyer/seller/admin only — never a public query path. submit/review functions built; quantity capping logic (5 default, honoured as specified only when dosage given) matches the prototype exactly | React: PrescriptionRequest.jsx — genuinely blocks submission without a photo, matching the backend's own NOT NULL constraint</t>
  </si>
  <si>
    <t xml:space="preserve">Transaction + seller registration check</t>
  </si>
  <si>
    <t xml:space="preserve">Two separate checks: a purchase, and whether a business is genuinely UMC-BCK-verified</t>
  </si>
  <si>
    <t xml:space="preserve">verify_transaction() plus sellers.verification_status — both halves covered | React: Verify link added to Pharma hub page, alongside the new reseller registration link</t>
  </si>
  <si>
    <t xml:space="preserve">Equipment/Bulk only</t>
  </si>
  <si>
    <t xml:space="preserve">Explicitly excludes Controlled/Prescription from ever being requested this way</t>
  </si>
  <si>
    <t xml:space="preserve"> | React: Honest UI guardrail via a new reusable demandNote prop (HubBrowse → DemandRequest) — explicitly not framed as real content enforcement, which would need moderation this platform doesn't have | Supabase column corrected — UI-only guardrail by design — real content moderation would be a different, larger undertaking, not a missing backend piece</t>
  </si>
  <si>
    <t xml:space="preserve">Analytics</t>
  </si>
  <si>
    <t xml:space="preserve">Platform Analytics &amp; Usage</t>
  </si>
  <si>
    <t xml:space="preserve">Registered users, active-today, installs, category breakdown, and a real "this session" live counter</t>
  </si>
  <si>
    <t xml:space="preserve">get_platform_analytics() — real counts from real tables (users by role, orders by status, GMV, wallet balances, pending queues, open disputes), admin-only | React: PlatformAnalytics — real counts from get_platform_analytics(), now the default tab admins land on</t>
  </si>
  <si>
    <t xml:space="preserve">Compliance</t>
  </si>
  <si>
    <t xml:space="preserve">Controlled Medication Requests</t>
  </si>
  <si>
    <t xml:space="preserve">Highest-priority queue — every prescription request platform-wide, approve/decline, never public</t>
  </si>
  <si>
    <t xml:space="preserve">prescription_requests + review_prescription_request() already existed from the Pharma session | React: Already covered by the Prescription Requests tab built earlier — same feature, different tracker label</t>
  </si>
  <si>
    <t xml:space="preserve">Dispatch</t>
  </si>
  <si>
    <t xml:space="preserve">Order Dispatch</t>
  </si>
  <si>
    <t xml:space="preserve">Live view of every assigned order, manual reassignment, rider roster with zone/acceptance rate</t>
  </si>
  <si>
    <t xml:space="preserve">delivery_assignments + admin_reassign_order() already existed from the Delivery Dispatch session | React: OrderDispatch tab in Admin — real reassignment, wired to admin_reassign_order()</t>
  </si>
  <si>
    <t xml:space="preserve">Registrations</t>
  </si>
  <si>
    <t xml:space="preserve">Pending Registrations</t>
  </si>
  <si>
    <t xml:space="preserve">All 10 registration types in one queue, filterable, full-application detail view per entry</t>
  </si>
  <si>
    <t xml:space="preserve">admin_pending_registrations view unifies sellers/delivery_agents/repairers/pharma_reseller_verifications into one filterable queue, plus admin_approve_registration()/admin_reject_registration() — upgraded from Partial | React: Admin.jsx Pending Registrations tab — queries admin_pending_registrations, wired to admin_approve_registration()/admin_reject_registration()</t>
  </si>
  <si>
    <t xml:space="preserve">Listings</t>
  </si>
  <si>
    <t xml:space="preserve">4 Pending Listings queues</t>
  </si>
  <si>
    <t xml:space="preserve">Phones &amp; Tech, Gold &amp; Jewelry, Automobile, Pharma &amp; Medical — one card each</t>
  </si>
  <si>
    <t xml:space="preserve">admin_pending_listings view — every seller-submitted product awaiting review, across every hub, in one query | React: Admin.jsx Pending Listings tab — queries admin_pending_listings, wired to admin_approve_listing()/admin_reject_listing()</t>
  </si>
  <si>
    <t xml:space="preserve">Finance</t>
  </si>
  <si>
    <t xml:space="preserve">Read-only reconciliation log, filterable by category</t>
  </si>
  <si>
    <t xml:space="preserve"> | React: BillsLedger tab in Admin — full filterable view across every status, with real per-status totals, not just the processing queue | Supabase column corrected — Reuses real bill_payments — no separate backend needed</t>
  </si>
  <si>
    <t xml:space="preserve">Disputes</t>
  </si>
  <si>
    <t xml:space="preserve">Dispute resolution</t>
  </si>
  <si>
    <t xml:space="preserve">Buyer/seller dispute queue</t>
  </si>
  <si>
    <t xml:space="preserve">disputes table + raise_dispute()/resolve_dispute() | React: OpenDisputes in Admin — real resolution with four real outcomes, wired to resolve_dispute()</t>
  </si>
  <si>
    <t xml:space="preserve">Security</t>
  </si>
  <si>
    <t xml:space="preserve">Fraud alert</t>
  </si>
  <si>
    <t xml:space="preserve">Flagged-transaction visibility</t>
  </si>
  <si>
    <t xml:space="preserve"> | React: FraudAlert tab in Admin — real computable signals (2+ disputes against a seller, 2+ disputes raised by a buyer), explicitly not framed as a fraud verdict | Supabase column corrected — Reuses real disputes data — no separate backend needed</t>
  </si>
  <si>
    <t xml:space="preserve">Admin access log</t>
  </si>
  <si>
    <t xml:space="preserve">Audit trail of admin actions</t>
  </si>
  <si>
    <t xml:space="preserve">admin_actions_log — populated automatically by the approval/rejection/dispute-resolution functions themselves, not dependent on anyone remembering to log anything | React: AccessLog in Admin — last 50 actions, populated automatically by the approval/rejection/resolution functions themselves</t>
  </si>
  <si>
    <t xml:space="preserve">Growth</t>
  </si>
  <si>
    <t xml:space="preserve">Affiliate &amp; Referral Codes</t>
  </si>
  <si>
    <t xml:space="preserve">Referral program management</t>
  </si>
  <si>
    <t xml:space="preserve">referral_codes + referral_redemptions — a person can only ever be referred once, enforced by a unique constraint, not just application logic | React: Referral code now visible and redeemable on Wallet page — generated on first view, both sides of the bonus reachable</t>
  </si>
  <si>
    <t xml:space="preserve">Promo Codes</t>
  </si>
  <si>
    <t xml:space="preserve">Buyer and seller promo code management</t>
  </si>
  <si>
    <t xml:space="preserve">promo_codes + promo_code_redemptions — supports both fixed-amount and percentage discounts, redeemed as a real wallet credit | React: PromoCodes tab in Admin (creation) + redemption on Wallet page — both real, both wired</t>
  </si>
  <si>
    <t xml:space="preserve">Browse used listings</t>
  </si>
  <si>
    <t xml:space="preserve">Secondhand marketplace browse</t>
  </si>
  <si>
    <t xml:space="preserve">used_item_listings table, peer-to-peer (any profile can list, not just registered sellers) | React: UsedItems.jsx Browse tab, with a real free/Sadaqah filter distinct from just price=0</t>
  </si>
  <si>
    <t xml:space="preserve">List</t>
  </si>
  <si>
    <t xml:space="preserve">List an item</t>
  </si>
  <si>
    <t xml:space="preserve">Anti-theft fields: "Do you have the receipt?" and "Is original packaging available?" — both explicit Yes/No</t>
  </si>
  <si>
    <t xml:space="preserve">Both anti-theft fields present: has_receipt and has_original_packaging, both mandatory booleans | React: UsedItems.jsx List tab — real submission</t>
  </si>
  <si>
    <t xml:space="preserve">Condition wording</t>
  </si>
  <si>
    <t xml:space="preserve">"Needs to be fixed" — deliberately not "For parts", per an earlier correction</t>
  </si>
  <si>
    <t xml:space="preserve">used_item_condition enum uses 'needs_to_be_fixed', not 'for parts' — the earlier correction carried through | React: Confirmed 'needs_to_be_fixed' wording carried through to the actual dropdown, not just the schema</t>
  </si>
  <si>
    <t xml:space="preserve">Free</t>
  </si>
  <si>
    <t xml:space="preserve">Free / Sadaqah section</t>
  </si>
  <si>
    <t xml:space="preserve">Charitable-giving framing for free listings</t>
  </si>
  <si>
    <t xml:space="preserve">is_donation flag, distinct from merely pricing an item at zero — preserves the deliberate Sadaqah framing | React: is_donation checkbox drives a genuinely separate submission path (price becomes null, not 0)</t>
  </si>
  <si>
    <t xml:space="preserve">Watch</t>
  </si>
  <si>
    <t xml:space="preserve">Price ticker</t>
  </si>
  <si>
    <t xml:space="preserve">Cross-market price visibility</t>
  </si>
  <si>
    <t xml:space="preserve">product_price_history, captured by trigger on every price change plus at creation — never dependent on application code remembering to log it | React: PriceWatches.jsx — real price history per watched item, not a placeholder chart</t>
  </si>
  <si>
    <t xml:space="preserve">Add to watch list</t>
  </si>
  <si>
    <t xml:space="preserve">Buyer tracks specific items for price changes</t>
  </si>
  <si>
    <t xml:space="preserve">price_watches table + add_price_watch()/remove_price_watch() functions | React: '★ Watch price' toggle on every product detail page, wired to add_price_watch()/remove_price_watch()</t>
  </si>
  <si>
    <t xml:space="preserve">Legal</t>
  </si>
  <si>
    <t xml:space="preserve">Terms &amp; Conditions</t>
  </si>
  <si>
    <t xml:space="preserve">12 parts (A–L), Kaduna State courts jurisdiction confirmed correct</t>
  </si>
  <si>
    <t xml:space="preserve">v2.4 — corrections from v2.3 plus a real Part M (Pharma &amp; Medical Hub Addendum) added: Prescription Requests, Seller Obligations for controlled items, Reseller Buyer Verification, Pharma Seller Licensing, Application of General Terms. Verified against submit_prescription_request(), review_prescription_request(), pharma_reseller_verifications, pharma_seller_details, and product_bulk_medication_details source directly before drafting — not assumed. Appended as a new Part rather than inserted mid-document, to avoid renumbering risk to existing cross-references | Supabase column corrected — Document, not a backend feature</t>
  </si>
  <si>
    <t xml:space="preserve">Docs</t>
  </si>
  <si>
    <t xml:space="preserve">User Guide</t>
  </si>
  <si>
    <t xml:space="preserve">Edition 4, covers every Hub and Admin feature</t>
  </si>
  <si>
    <t xml:space="preserve">Edition 4.1 corrects real, consequential overclaims found by direct comparison to the live platform — Bills &amp; Services (removed false claims about 6 categories that don't exist and automatic third-party settlement that isn't real), Verify Device (removed fabricated paid external report and QR features), Platform Analytics (updated — now genuinely real), Director Overview, Order Dispatch, and Maiangua verification (corrected to not overclaim a mechanism that isn't built). Marked Partial rather than Done since this was a targeted correction pass on the sections most likely to mislead a real user, not an exhaustive line-by-line audit of all 1144 lines | Supabase column corrected — Document, not a backend feature</t>
  </si>
  <si>
    <t xml:space="preserve">Consistency</t>
  </si>
  <si>
    <t xml:space="preserve">23-LGA lists</t>
  </si>
  <si>
    <t xml:space="preserve">Full Kaduna State LGA list used consistently across every registration form</t>
  </si>
  <si>
    <t xml:space="preserve">One remaining truncated instance (general Seller LGA dropdown) found and fixed this session | React: Verified consistent — SellerRegister, DeliveryAgentRegister, and Cart's delivery LGA selector all pull from the same states.is_launched query, not separately hardcoded lists | Supabase column corrected — Reuses real local_government_areas + states.is_launched — no separate backend needed</t>
  </si>
  <si>
    <t xml:space="preserve">Payments</t>
  </si>
  <si>
    <t xml:space="preserve">Wallet-only enforcement</t>
  </si>
  <si>
    <t xml:space="preserve">No Cash on Delivery anywhere in the platform — final decision, confirmed this session</t>
  </si>
  <si>
    <t xml:space="preserve"> | React: Wallet.jsx shows real balance and real top-up requests — no pay-on-delivery or bank-transfer-at-checkout option exists anywhere in the UI</t>
  </si>
  <si>
    <t xml:space="preserve">Business Tools</t>
  </si>
  <si>
    <t xml:space="preserve">Sales Register &amp; Real Accounting (walk-in POS)</t>
  </si>
  <si>
    <t xml:space="preserve">NEW — proposed in conversation on 2026-08-04, not yet built. A real point-of-sale register so a store owner can record and get credit for walk-in sales even when the customer has no UMC-BCK account, unifying with the same inventory the online storefront reads from. Full scope discussed: (1) real walk-in sale entry against the real product catalog, cash/transfer toggle, real stock_quantity decrement shared with online orders; (2) real credit sales / accounts receivable — who owes, since when, marked paid later; (3) real categorized expense entry; (4) genuinely automatic daily/weekly/monthly/quarterly/half-year/yearly statements combining online + walk-in sales, cash vs transfer broken out; (5) real per-item historical analytics across any of those ranges (e.g. 'how many bags of rice sold in the last 7 days'); (6) voice-to-text sale entry via the real browser Web Speech API, matching the pattern already used for delivery incident reports; (7) offline queue on-device with automatic sync on reconnect, and a hard mandatory-sync-within-24-hours rule to be written into the T&amp;C, with honest surfacing of any real inventory conflict rather than silently overselling; (8) a simplified Balance Sheet (cash + wallet balance + inventory value), explicitly labeled as simplified, not dressed up as full accountant-grade statements.</t>
  </si>
  <si>
    <t xml:space="preserve">Proposed as a 5th real revenue stream alongside commission, Featured Placement, Supermarket Accounts, and Market Data Licensing — a real 'Business Tools' monthly subscription, priced the way real POS/accounting software is (Wave, QuickBooks Simple Start), justified because this is a daily-use tool a seller would genuinely rather pay for than keep a manual, error-prone paper record. Explicitly agreed this needed logging here before the section-by-section handover-document audit continued, so it could not become exactly the kind of lost feature this conversation was about. | Core register + barcode scanning genuinely built: real cash/transfer walk-in sales, real shared inventory decrement, real camera-based barcode scan-to-add via html5-qrcode (lazy-loaded, not bloating the main bundle), real custom-item entry, real per-seller barcode recording on Add Listing. Still Partial: credit sales/receivables, voice-to-text entry, multi-range historical reports, per-item analytics, offline queue not yet built | Credit sales/receivables now real: record_credit_sale() wraps record_walk_in_sale() so credit sales get the same real inventory decrement and ownership check, plus a real credit_sale_receivables ledger with mark_receivable_paid(). Frontend: credit as a real 3rd payment option requiring a real debtor name, a live Outstanding Credit list with a real total and per-debtor mark-paid button | Multi-range reporting + per-item analytics now real: get_sales_report() and get_item_sales_summary() combine online orders and walk-in register sales into one genuine picture. A real bug was found and fixed while building this — orders.delivered_at never existed, so mark_order_delivered() never recorded when an order was actually delivered, which would have made every online-sales figure in these reports silently zero forever | Offline queue and voice-to-text now both real. React column stays Partial (not Done) specifically because voice parsing genuinely cannot function yet — the Edge Function is real and deployed, but returns an honest, explicit error until an ANTHROPIC_API_KEY is set as a real Supabase secret. Everything else in this feature is fully real and working</t>
  </si>
  <si>
    <t xml:space="preserve">Attendant workflow</t>
  </si>
  <si>
    <t xml:space="preserve">Credit-sale and restock approval requests</t>
  </si>
  <si>
    <t xml:space="preserve">Real gap confirmed absent from the live database (zero matching tables) while auditing the formal handover document on 2026-08-04. Originally specified: attendants can submit a credit-sale approval request or a restock request; sellers/directors approve or reject. Attendants must never have write access to price or product fields — this part IS correctly enforced today via real RLS. What's missing is the actual credit_requests / restock_requests tables and workflow. Connects directly to the credit-sales piece of the new Sales Register proposal (Feature #144) — not purely new scope, partly a rediscovery of an old, never-built spec item.</t>
  </si>
  <si>
    <t xml:space="preserve">Found during the section-by-section handover-document audit requested this session. Real, specific, and should likely be folded into Feature #144's build rather than built twice separately. | Restock half built and real: submit_restock_request(), resolve_restock_request() (genuinely updates stock_quantity when marked restocked), real seller-facing queue, real attendant-facing flag button. Credit-request half deliberately NOT rebuilt as a separate approval gate — the newer, more detailed Sales Register conversation with the user produced a more direct design (attendants record credit sales directly via record_credit_sale(), tracked through real receivables) which may have superseded the older spec's approval-gated concept. Flagged to the user rather than guessed | Approval gate added per explicit direction: record_credit_sale() no longer accepts an attendant caller — only store owner or admin. An attendant's only path is submit_credit_sale_request() -&gt; owner reviews via resolve_credit_sale_request(), which genuinely calls record_credit_sale() on approval (same real inventory decrement and receivable, one settlement path not two). Frontend detects real ownership and branches the credit flow accordingly, with clear copy telling an attendant their sale needs approval before it's recorded</t>
  </si>
  <si>
    <t xml:space="preserve">What Actually Exists in the Real Supabase Project — Right Now</t>
  </si>
  <si>
    <t xml:space="preserve">Project: UMC-BCK · Region: eu-central-1 · This is ground truth verified directly against the live database, not a plan.</t>
  </si>
  <si>
    <t xml:space="preserve">What it does</t>
  </si>
  <si>
    <t xml:space="preserve">IDENTITY &amp; ACCESS CONTROL</t>
  </si>
  <si>
    <t xml:space="preserve">profiles</t>
  </si>
  <si>
    <t xml:space="preserve">One row per real Supabase Auth user, auto-created on signup via trigger</t>
  </si>
  <si>
    <t xml:space="preserve">Never insert directly — the trigger owns this</t>
  </si>
  <si>
    <t xml:space="preserve">get_user_role()</t>
  </si>
  <si>
    <t xml:space="preserve">Security-definer helper so RLS policies can check role without recursive lookups</t>
  </si>
  <si>
    <t xml:space="preserve">Deliberately public — RLS policies require this</t>
  </si>
  <si>
    <t xml:space="preserve">sellers</t>
  </si>
  <si>
    <t xml:space="preserve">Store registration: tier, CAC, LGA, market, is_open, verification_status, instalment_opt_in</t>
  </si>
  <si>
    <t xml:space="preserve">Buyer-facing browse must filter is_open at query time</t>
  </si>
  <si>
    <t xml:space="preserve">Linked to a store, access code, RLS-enforced view-only access</t>
  </si>
  <si>
    <t xml:space="preserve">Cannot see cost price or margins — enforced at the database level, not just hidden in the UI</t>
  </si>
  <si>
    <t xml:space="preserve">MONEY — WALLETS &amp; LEDGER</t>
  </si>
  <si>
    <t xml:space="preserve">wallets</t>
  </si>
  <si>
    <t xml:space="preserve">One per user, auto-created, balance is a read-only cache</t>
  </si>
  <si>
    <t xml:space="preserve">Never write balance directly</t>
  </si>
  <si>
    <t xml:space="preserve">wallet_transactions</t>
  </si>
  <si>
    <t xml:space="preserve">Append-only ledger: credit / debit / hold / release</t>
  </si>
  <si>
    <t xml:space="preserve">This is the actual source of truth, not the cached balance</t>
  </si>
  <si>
    <t xml:space="preserve">wallet_topup_requests</t>
  </si>
  <si>
    <t xml:space="preserve">Tracks bank-transfer top-up claims separately from the actual credit</t>
  </si>
  <si>
    <t xml:space="preserve">Confirming a request is what triggers the real credit</t>
  </si>
  <si>
    <t xml:space="preserve">6 wallet functions</t>
  </si>
  <si>
    <t xml:space="preserve">credit_wallet, place_wallet_hold, finalize_wallet_hold, release_wallet_hold, request_wallet_topup, confirm_wallet_topup</t>
  </si>
  <si>
    <t xml:space="preserve">The only sanctioned way any money moves — no direct table writes, not even by the account owner</t>
  </si>
  <si>
    <t xml:space="preserve">PRODUCTS</t>
  </si>
  <si>
    <t xml:space="preserve">products</t>
  </si>
  <si>
    <t xml:space="preserve">Shared fields: seller, category, name, price, condition, status, stock, instalment_eligible</t>
  </si>
  <si>
    <t xml:space="preserve">product_type decides which detail table applies</t>
  </si>
  <si>
    <t xml:space="preserve">product_vehicle_details</t>
  </si>
  <si>
    <t xml:space="preserve">VIN, mileage, year, body type, transmission, fuel, duty status, accident history</t>
  </si>
  <si>
    <t xml:space="preserve">Seller-declared, matches how Verify works everywhere — not independently verified</t>
  </si>
  <si>
    <t xml:space="preserve">product_precious_metal_details</t>
  </si>
  <si>
    <t xml:space="preserve">Karat + weight, for actual gold/silver items only</t>
  </si>
  <si>
    <t xml:space="preserve">Deliberately separate from fashion/costume jewelry</t>
  </si>
  <si>
    <t xml:space="preserve">product_bulk_medication_details</t>
  </si>
  <si>
    <t xml:space="preserve">Carton size, half-carton price, full-carton price</t>
  </si>
  <si>
    <t xml:space="preserve">full_carton_price &gt; half_carton_price is a real database constraint — cannot be violated even by a bug in application code</t>
  </si>
  <si>
    <t xml:space="preserve">Detail-table integrity check</t>
  </si>
  <si>
    <t xml:space="preserve">A vehicle/precious-metal/bulk-medication product without its matching detail row is structurally impossible to create</t>
  </si>
  <si>
    <t xml:space="preserve">Deferred constraint trigger, checked at commit</t>
  </si>
  <si>
    <t xml:space="preserve">ORDERS</t>
  </si>
  <si>
    <t xml:space="preserve">Buyer, seller, status, subtotal, delivery fee, total, is_instalment flag</t>
  </si>
  <si>
    <t xml:space="preserve">Every status transition goes through a function, never a direct update</t>
  </si>
  <si>
    <t xml:space="preserve">order_items</t>
  </si>
  <si>
    <t xml:space="preserve">Line items, priced at the moment of purchase</t>
  </si>
  <si>
    <t xml:space="preserve">Product price changes later never retroactively change what the buyer agreed to pay</t>
  </si>
  <si>
    <t xml:space="preserve">order_payments</t>
  </si>
  <si>
    <t xml:space="preserve">Every individual payment against an order</t>
  </si>
  <si>
    <t xml:space="preserve">A regular order has one row; an instalment order has one per payment</t>
  </si>
  <si>
    <t xml:space="preserve">order_instalment_details</t>
  </si>
  <si>
    <t xml:space="preserve">Deposit, remaining balance, refund-tier dates</t>
  </si>
  <si>
    <t xml:space="preserve">Enforces deposit &lt; total as a real cross-table check</t>
  </si>
  <si>
    <t xml:space="preserve">place_order()</t>
  </si>
  <si>
    <t xml:space="preserve">Creates an order, prices every item from the real products table, places the correct wallet hold</t>
  </si>
  <si>
    <t xml:space="preserve">Never trusts a client-supplied price</t>
  </si>
  <si>
    <t xml:space="preserve">confirm_order() / reject_order()</t>
  </si>
  <si>
    <t xml:space="preserve">Seller accepts or declines</t>
  </si>
  <si>
    <t xml:space="preserve">Rejection always fully refunds, regardless of instalment timing</t>
  </si>
  <si>
    <t xml:space="preserve">make_instalment_payment()</t>
  </si>
  <si>
    <t xml:space="preserve">Each instalment payment is its own wallet hold, not an immediate debit</t>
  </si>
  <si>
    <t xml:space="preserve">Nothing is spent until delivery is confirmed</t>
  </si>
  <si>
    <t xml:space="preserve">mark_order_delivered()</t>
  </si>
  <si>
    <t xml:space="preserve">Finalizes every hold on the order in one clean debit</t>
  </si>
  <si>
    <t xml:space="preserve">Physically refuses to run on an instalment order with an outstanding balance</t>
  </si>
  <si>
    <t xml:space="preserve">cancel_instalment_order()</t>
  </si>
  <si>
    <t xml:space="preserve">The exact tiered refund policy: full refund inside 7 days, 20%-fee partial refund 7-90 days, no refund after</t>
  </si>
  <si>
    <t xml:space="preserve">Buyer-initiated only — seller rejection uses the separate, always-full-refund path</t>
  </si>
  <si>
    <t xml:space="preserve">DELIVERY DISPATCH</t>
  </si>
  <si>
    <t xml:space="preserve">delivery_agents</t>
  </si>
  <si>
    <t xml:space="preserve">Zone, online status, verification, total_assignments/total_fulfilled counts</t>
  </si>
  <si>
    <t xml:space="preserve">acceptance_rate is a derived view column, not a stored field that could drift out of sync</t>
  </si>
  <si>
    <t xml:space="preserve">delivery_assignments</t>
  </si>
  <si>
    <t xml:space="preserve">One row per assignment attempt; reassignment supersedes rather than overwrites, preserving history</t>
  </si>
  <si>
    <t xml:space="preserve">Partial unique index guarantees only one ACTIVE assignment per order — the actual mechanism preventing riders racing for the same order</t>
  </si>
  <si>
    <t xml:space="preserve">auto_assign_order()</t>
  </si>
  <si>
    <t xml:space="preserve">Scores online, approved agents by zone match first, acceptance rate as tiebreaker</t>
  </si>
  <si>
    <t xml:space="preserve">Wired directly into confirm_order() — assignment happens atomically with confirmation, not as a separate step</t>
  </si>
  <si>
    <t xml:space="preserve">escalate_overdue_assignments()</t>
  </si>
  <si>
    <t xml:space="preserve">Flags anything past its 10-minute SLA as escalated</t>
  </si>
  <si>
    <t xml:space="preserve">Genuinely scheduled via pg_cron, runs every 60 seconds — verified live in cron.job, not just written and hoped for</t>
  </si>
  <si>
    <t xml:space="preserve">admin_reassign_order()</t>
  </si>
  <si>
    <t xml:space="preserve">Manual override, works whether the prior assignment is still active or already escalated</t>
  </si>
  <si>
    <t xml:space="preserve">mark_order_delivered() — corrected</t>
  </si>
  <si>
    <t xml:space="preserve">Finalizes the wallet hold and resolves the matching delivery assignment</t>
  </si>
  <si>
    <t xml:space="preserve">Caught and fixed a real bug this session: originally only let the SELLER mark delivery complete. Corrected to buyer / assigned agent / seller (pickup orders) / admin.</t>
  </si>
  <si>
    <t xml:space="preserve">NATIONAL GEOGRAPHY (built ahead of the neighborhood-level document)</t>
  </si>
  <si>
    <t xml:space="preserve">states</t>
  </si>
  <si>
    <t xml:space="preserve">All 36 states + FCT, real data sourced and verified against a structured public dataset (not typed from memory)</t>
  </si>
  <si>
    <t xml:space="preserve">Only Kaduna has is_launched = true — the actual mechanism for activating Kano/Lagos/Abuja later</t>
  </si>
  <si>
    <t xml:space="preserve">local_government_areas</t>
  </si>
  <si>
    <t xml:space="preserve">All 774 LGAs nationally, verified count matches official sources exactly</t>
  </si>
  <si>
    <t xml:space="preserve">Kaduna's 23 confirmed to match, in the same order, as every form built earlier this project</t>
  </si>
  <si>
    <t xml:space="preserve">neighborhood_areas</t>
  </si>
  <si>
    <t xml:space="preserve">Structurally ready, deliberately empty</t>
  </si>
  <si>
    <t xml:space="preserve">Waiting on the user's local-knowledge document — this level was not guessed at</t>
  </si>
  <si>
    <t xml:space="preserve">delivery_agent_coverage_areas</t>
  </si>
  <si>
    <t xml:space="preserve">Many-to-many junction — one agent can cover several specific neighborhoods, not just one LGA</t>
  </si>
  <si>
    <t xml:space="preserve">This is the actual mechanism behind "tick the areas you know," once neighborhood data exists</t>
  </si>
  <si>
    <t xml:space="preserve">sellers.lga / orders.delivery_lga / delivery_agents.zone</t>
  </si>
  <si>
    <t xml:space="preserve">Retrofitted from free text to real foreign keys referencing local_government_areas</t>
  </si>
  <si>
    <t xml:space="preserve">Caught and fixed a follow-on bug this same session: place_order() still referenced the old text column and would have failed at runtime — fixed before it could matter</t>
  </si>
  <si>
    <t xml:space="preserve">KADUNA NEIGHBORHOOD DATA — imported from user's real document</t>
  </si>
  <si>
    <t xml:space="preserve">neighborhood_areas — Kaduna</t>
  </si>
  <si>
    <t xml:space="preserve">All 23 Kaduna LGAs populated, 265 real neighborhoods, verified count matches source document exactly per-LGA</t>
  </si>
  <si>
    <t xml:space="preserve">Source: CHS_Geographic_Data_Reference.md — found and fixed 17 broken Unicode escape sequences (literal \u2019 text instead of apostrophes) in the source before import</t>
  </si>
  <si>
    <t xml:space="preserve">Other 36 states</t>
  </si>
  <si>
    <t xml:space="preserve">Document has real neighborhood data (6,000 neighborhoods) but LGA naming doesn't always match the existing local_government_areas table (different source datasets use different official spellings/hyphenation)</t>
  </si>
  <si>
    <t xml:space="preserve">Deliberately deferred — reconciling ~700 LGA names needs a careful pass, not urgent since Kaduna is the launch state</t>
  </si>
  <si>
    <t xml:space="preserve">PRODUCT VARIANTS, ADD-ONS &amp; CANTEEN (this session)</t>
  </si>
  <si>
    <t xml:space="preserve">product_variants</t>
  </si>
  <si>
    <t xml:space="preserve">Formalizes the prototype's Name|Price picker as a real table — a product with variants sells through them, not one flat price</t>
  </si>
  <si>
    <t xml:space="preserve">Reused as-is for Canteen's "subcategory variants" — same underlying need, one implementation</t>
  </si>
  <si>
    <t xml:space="preserve">product_addons</t>
  </si>
  <si>
    <t xml:space="preserve">Priced extras ("add egusi soup +₦500") — built generic, not canteen-specific by name</t>
  </si>
  <si>
    <t xml:space="preserve">order_item_addons</t>
  </si>
  <si>
    <t xml:space="preserve">Which add-ons were selected per line item, with name/price snapshotted at order time</t>
  </si>
  <si>
    <t xml:space="preserve">Same reasoning as order_items snapshotting unit_price — a later menu change must never retroactively alter what was charged</t>
  </si>
  <si>
    <t xml:space="preserve">order_items.contributor_name</t>
  </si>
  <si>
    <t xml:space="preserve">Group ordering support — one buyer, one payment, but each line item can be tagged with who it was actually for</t>
  </si>
  <si>
    <t xml:space="preserve">Deliberately not a separate group-order concept — kept the order model single-buyer, single-payment</t>
  </si>
  <si>
    <t xml:space="preserve">place_order() — extended</t>
  </si>
  <si>
    <t xml:space="preserve">Now handles variant selection, add-on selection, and contributor attribution in one call</t>
  </si>
  <si>
    <t xml:space="preserve">Caught and fixed a real bug mid-build: the original order_items constraint (line_total = unit_price × quantity) would have rejected every order with an add-on, since it didn't account for addon cost — fixed with a dedicated addon_total column, not by loosening the constraint</t>
  </si>
  <si>
    <t xml:space="preserve">Canteen &amp; Fast Food — architecture decision</t>
  </si>
  <si>
    <t xml:space="preserve">Deliberately built ZERO new Canteen-specific tables. A canteen operator is structurally just a seller; their menu is just products with variants and add-ons; their incoming orders are just orders filtered by seller_id</t>
  </si>
  <si>
    <t xml:space="preserve">Validates that the general commerce pipeline (sellers → products → orders) genuinely generalizes, rather than needing a parallel system per category</t>
  </si>
  <si>
    <t xml:space="preserve">PROFILE PHOTOS, STORE LOGOS, DARK MODE (this session)</t>
  </si>
  <si>
    <t xml:space="preserve">avatars storage bucket</t>
  </si>
  <si>
    <t xml:space="preserve">Public read, owner-only write — a user can only upload into their own folder, enforced by RLS matching the path to their user id</t>
  </si>
  <si>
    <t xml:space="preserve">Caught and fixed a real issue: the initial SELECT policy allowed listing every file in the bucket, not just fetching known images — removed it since public buckets don't need it for normal access</t>
  </si>
  <si>
    <t xml:space="preserve">sellers.logo_url</t>
  </si>
  <si>
    <t xml:space="preserve">Store/company logo, separate from a person's own profile photo (profiles.avatar_url, which already existed from the very first migration)</t>
  </si>
  <si>
    <t xml:space="preserve">profiles.theme_preference</t>
  </si>
  <si>
    <t xml:space="preserve">Dark mode preference follows the user across devices — the toggle itself is entirely a frontend concern, this just persists the choice</t>
  </si>
  <si>
    <t xml:space="preserve">Biometric login — clarified, not built</t>
  </si>
  <si>
    <t xml:space="preserve">Fingerprint/Face ID data never reaches Supabase — it stays on-device. The backend-relevant piece is WebAuthn/Passkey support in Supabase Auth, which is a dashboard configuration setting, not schema work, and not directly toggleable with current tooling</t>
  </si>
  <si>
    <t xml:space="preserve">Real feature, but overwhelmingly a frontend/mobile concern</t>
  </si>
  <si>
    <t xml:space="preserve">GitHub — not yet connected</t>
  </si>
  <si>
    <t xml:space="preserve">No GitHub connector is available in this session; every migration so far exists only in Supabase's own history, not in a reviewable git repo</t>
  </si>
  <si>
    <t xml:space="preserve">Recommended: connect GitHub now rather than at deployment, so migration history isn't reconstructed retroactively</t>
  </si>
  <si>
    <t xml:space="preserve">⚠️ REAL SECURITY BUG FOUND AND FIXED THIS SESSION</t>
  </si>
  <si>
    <t xml:space="preserve">NULL auth.uid() bypass</t>
  </si>
  <si>
    <t xml:space="preserve">In PL/pgSQL, "real_value &lt;&gt; auth.uid()" silently evaluates to NULL (not true) when auth.uid() is NULL (an anonymous caller) — and "if NULL then" is treated as false, so an authorization check written this way never fires for an unauthenticated caller</t>
  </si>
  <si>
    <t xml:space="preserve">Found via the advisor flagging unexpected anon access on 3 functions — was NOT caught by inspection. Fixed the underlying logic in all 8 functions using this pattern (not just the 3 that were reachable), since relying only on grants to catch this is fragile</t>
  </si>
  <si>
    <t xml:space="preserve">Functions corrected</t>
  </si>
  <si>
    <t xml:space="preserve">accept_trade_in_counter, respond_to_trade_in_offer, request_wallet_topup (all 3 genuinely exploitable by anon), plus cancel_instalment_order, complete_trade_in_cash_buyback, confirm_order, make_instalment_payment, reject_order (not reachable due to existing grants, fixed anyway for correctness)</t>
  </si>
  <si>
    <t xml:space="preserve">Every one now uses "auth.uid() is null or ..." explicitly rather than relying on comparison-with-NULL semantics</t>
  </si>
  <si>
    <t xml:space="preserve">GOLD &amp; JEWELRY TRADE-IN (this session)</t>
  </si>
  <si>
    <t xml:space="preserve">trade_in_offers</t>
  </si>
  <si>
    <t xml:space="preserve">Buyer describes an item, desired outcome (cash buyback or exchange), seller counters/accepts/declines</t>
  </si>
  <si>
    <t xml:space="preserve">Exchange credit is not yet auto-linked to a new order — buyer/seller apply it manually. Real scope limit, stated plainly</t>
  </si>
  <si>
    <t xml:space="preserve">complete_trade_in_cash_buyback()</t>
  </si>
  <si>
    <t xml:space="preserve">Money moves seller wallet → buyer wallet — the reverse of a normal order</t>
  </si>
  <si>
    <t xml:space="preserve">Reuses place_wallet_hold/finalize_wallet_hold/credit_wallet exactly as-is, just in the opposite direction</t>
  </si>
  <si>
    <t xml:space="preserve">PHARMA &amp; MEDICAL COMPLIANCE (this session)</t>
  </si>
  <si>
    <t xml:space="preserve">pharma_seller_details</t>
  </si>
  <si>
    <t xml:space="preserve">PCN registration number + NAFDAC premises number, both mandatory; license_verified is admin-only</t>
  </si>
  <si>
    <t xml:space="preserve">pharma_reseller_verifications</t>
  </si>
  <si>
    <t xml:space="preserve">Buyer-side verification for bulk medication purchase eligibility</t>
  </si>
  <si>
    <t xml:space="preserve">is_verified_pharma_reseller()</t>
  </si>
  <si>
    <t xml:space="preserve">Real enforcement for a flag that existed but was never checked — product_bulk_medication_details.requires_reseller_verification has been sitting there since the products migration with nothing actually gating on it until now</t>
  </si>
  <si>
    <t xml:space="preserve">prescription_requests</t>
  </si>
  <si>
    <t xml:space="preserve">Never publicly queryable — RLS restricted to the submitting buyer, the targeted seller, and admin only. Quantity capped at 5 unless a dosage is specified, matching the prototype exactly</t>
  </si>
  <si>
    <t xml:space="preserve">GOLD &amp; JEWELRY TRADE-IN + PHARMA PRESCRIPTIONS — found already built, verified this session</t>
  </si>
  <si>
    <t xml:space="preserve">Tracking gap, stated plainly</t>
  </si>
  <si>
    <t xml:space="preserve">This work existed in the live database but was not reflected in the tracker or in the assistant's own running summary of progress — discovered only by checking real Supabase state before starting what was assumed to be new work</t>
  </si>
  <si>
    <t xml:space="preserve">Exactly the failure mode this tracker exists to prevent — caught here because the habit of verifying against the real database before acting held, even when memory of the work itself did not</t>
  </si>
  <si>
    <t xml:space="preserve">Cash buyback or exchange, with counter-offer negotiation (pending → countered → accepted/declined → completed)</t>
  </si>
  <si>
    <t xml:space="preserve">Money moves seller wallet → buyer wallet — the reverse direction of a normal order</t>
  </si>
  <si>
    <t xml:space="preserve">Exchange credit is not yet auto-linked to a specific future order — a real, stated scope limit, not hidden</t>
  </si>
  <si>
    <t xml:space="preserve">PCN registration number + NAFDAC premises number, with a manual license_verified flag — matches the compliance requirement exactly</t>
  </si>
  <si>
    <t xml:space="preserve">Pharmacy/Clinic/Hospital verification, separate from general seller verification</t>
  </si>
  <si>
    <t xml:space="preserve">requested_quantity defaults to 5, only honoured higher when dosage is explicitly specified — matches the prototype policy exactly. Never queryable by anyone except the requester, the reviewing admin, and the assigned seller</t>
  </si>
  <si>
    <t xml:space="preserve">A genuine security fix, verified resolved</t>
  </si>
  <si>
    <t xml:space="preserve">A NULL-handling bug — 'owner &lt;&gt; auth.uid()' silently evaluates to NULL (not true) for an unauthenticated caller, and PL/pgSQL treats IF NULL as false, so the rejection never fired</t>
  </si>
  <si>
    <t xml:space="preserve">Fixed across 8 functions; confirmed by searching every function in the schema for the vulnerable pattern — zero remaining instances</t>
  </si>
  <si>
    <t xml:space="preserve">PHONES &amp; TECH HUB — KANKARA SWAP, REPAIR, DEMAND REQUESTS</t>
  </si>
  <si>
    <t xml:space="preserve">demand_requests</t>
  </si>
  <si>
    <t xml:space="preserve">The 'Can't Find It' pattern, built once generically for reuse across every hub — Gold &amp; Jewelry, Automobile, and Pharma Equipment all get this for free, not just Phones &amp; Tech</t>
  </si>
  <si>
    <t xml:space="preserve">swap_listings + swap_offers</t>
  </si>
  <si>
    <t xml:space="preserve">Phone-for-phone swap with counter-offers and an optional cash_adjustment in either direction, settled through the wallet on acceptance</t>
  </si>
  <si>
    <t xml:space="preserve">repairers</t>
  </si>
  <si>
    <t xml:space="preserve">New actor type, structurally mirrors delivery_agents — device types, specialties, years of experience, verification status</t>
  </si>
  <si>
    <t xml:space="preserve">repair_bookings</t>
  </si>
  <si>
    <t xml:space="preserve">requested → diagnosed (quote given) → accepted (wallet hold placed) → completed (payment finalizes to the repairer). Payment never moves before the repairer confirms the work is actually done</t>
  </si>
  <si>
    <t xml:space="preserve">Applied the NULL-auth lesson from the start</t>
  </si>
  <si>
    <t xml:space="preserve">Every new function in this session was written with the explicit auth.uid() is null check from the first draft, not added afterward — verified by re-running the exhaustive schema-wide search for the vulnerable pattern, zero instances found, including in the new code</t>
  </si>
  <si>
    <t xml:space="preserve">Zero follow-up index fixes needed</t>
  </si>
  <si>
    <t xml:space="preserve">Unlike earlier sessions, the performance advisor found no missing indexes this time — every foreign key was indexed correctly on the first migration</t>
  </si>
  <si>
    <t xml:space="preserve">DIRECTOR DASHBOARD + USED ITEMS</t>
  </si>
  <si>
    <t xml:space="preserve">Real bug found and fixed: sellers.user_id UNIQUE constraint</t>
  </si>
  <si>
    <t xml:space="preserve">Made it structurally impossible for one person to own more than one store — directly broke the Director role's entire premise, which had existed in the user_role enum since the very first migration with no way to actually function</t>
  </si>
  <si>
    <t xml:space="preserve">Found by trying to build the feature, not by inspection — the same pattern as the CHS-avoidance discipline this tracker exists for</t>
  </si>
  <si>
    <t xml:space="preserve">used_item_listings</t>
  </si>
  <si>
    <t xml:space="preserve">Peer-to-peer, not store-based — any profile can list. Anti-theft fields (has_receipt, has_original_packaging) both mandatory. Condition uses 'needs_to_be_fixed', matching an earlier deliberate correction. is_donation flag preserves the Sadaqah framing as distinct from a merely free-priced item</t>
  </si>
  <si>
    <t xml:space="preserve">No new functions needed for Used Items</t>
  </si>
  <si>
    <t xml:space="preserve">Direct RLS-permitted table access is sufficient — this is a listings board, not a checkout flow; the actual handover happens off-platform, matching the prototype's own scope</t>
  </si>
  <si>
    <t xml:space="preserve">VERIFY, AUTOMOBILE HUB, KASUWA PRICE WATCH</t>
  </si>
  <si>
    <t xml:space="preserve">verify_transaction()</t>
  </si>
  <si>
    <t xml:space="preserve">Built once, shared across every hub — the same 'confirm a transaction happened, not a claim about the item' pattern used everywhere in this platform</t>
  </si>
  <si>
    <t xml:space="preserve">The one function in the entire schema deliberately left callable by anonymous users, since unauthenticated trust-checking is its whole purpose and it structurally cannot leak anything sensitive (no identities, no amounts — just type/status/date)</t>
  </si>
  <si>
    <t xml:space="preserve">Automobile Hub — closed out via reuse</t>
  </si>
  <si>
    <t xml:space="preserve">Zero new tables needed beyond what already existed (product_vehicle_details) — vehicles, parts, browse, and Can't Find It all ride on infrastructure built for other hubs</t>
  </si>
  <si>
    <t xml:space="preserve">product_price_history</t>
  </si>
  <si>
    <t xml:space="preserve">Captured by trigger on every price change AND at product creation — never dependent on application code remembering to log it</t>
  </si>
  <si>
    <t xml:space="preserve">price_watches</t>
  </si>
  <si>
    <t xml:space="preserve">add_price_watch() / remove_price_watch(), simple and idempotent</t>
  </si>
  <si>
    <t xml:space="preserve">ADMIN CONTROL ROOM</t>
  </si>
  <si>
    <t xml:space="preserve">admin_pending_registrations / admin_pending_listings views</t>
  </si>
  <si>
    <t xml:space="preserve">Unify what were previously four+ separate tables into one filterable queue each, matching the prototype's exact design intent</t>
  </si>
  <si>
    <t xml:space="preserve">admin_actions_log</t>
  </si>
  <si>
    <t xml:space="preserve">Populated automatically by the approval/rejection/dispute functions themselves — not a manual logging step anyone has to remember</t>
  </si>
  <si>
    <t xml:space="preserve">admin_approve/reject_registration, admin_approve/reject_listing</t>
  </si>
  <si>
    <t xml:space="preserve">Real functions replacing what used to be a bare UPDATE with no audit trail</t>
  </si>
  <si>
    <t xml:space="preserve">disputes</t>
  </si>
  <si>
    <t xml:space="preserve">raise_dispute() (either party to an order) / resolve_dispute() (admin-only, logged)</t>
  </si>
  <si>
    <t xml:space="preserve">promo_codes + referral_codes</t>
  </si>
  <si>
    <t xml:space="preserve">Both redeem as real wallet credits, reusing existing infrastructure rather than inventing a parallel discount system. A person can only be referred once — enforced by a unique constraint, not application logic</t>
  </si>
  <si>
    <t xml:space="preserve">Caught and fixed mid-session: two trigger functions left publicly callable</t>
  </si>
  <si>
    <t xml:space="preserve">record_initial_price() and record_price_change() (from the price-history work) were missed when locking down trigger functions — same category of function as handle_new_user, fixed immediately on discovery via the routine advisor check</t>
  </si>
  <si>
    <t xml:space="preserve">Genuinely NOT built: Platform Analytics dashboard, Fraud alert flagging</t>
  </si>
  <si>
    <t xml:space="preserve">Real data exists to build these from (admin_actions_log, wallet_transactions, orders) but no dedicated aggregation/flagging logic exists yet — left as Partial/Not started rather than claimed done</t>
  </si>
  <si>
    <t xml:space="preserve">BUYER MARKETPLACE — ACCURACY PASS + REAL GAPS CLOSED</t>
  </si>
  <si>
    <t xml:space="preserve">Accuracy pass</t>
  </si>
  <si>
    <t xml:space="preserve">12 rows were marked Not started despite already being covered by infrastructure built for other hubs (product_variants, demand_requests, products.status/condition) — corrected, not new work</t>
  </si>
  <si>
    <t xml:space="preserve">cart_items + checkout_cart()</t>
  </si>
  <si>
    <t xml:space="preserve">A real persistent cart did not exist before — place_order() only ever took a full item list in one call. Now a buyer can add over time and have it survive closing the app</t>
  </si>
  <si>
    <t xml:space="preserve">orders.delivery_type</t>
  </si>
  <si>
    <t xml:space="preserve">Genuinely missing — no field anywhere distinguished home delivery from store pickup from proxy pickup</t>
  </si>
  <si>
    <t xml:space="preserve">orders.terms_accepted_at + enforced in place_order()</t>
  </si>
  <si>
    <t xml:space="preserve">An order cannot be created without explicit terms acceptance — a real database-level requirement now, not just a frontend gate that could be bypassed</t>
  </si>
  <si>
    <t xml:space="preserve">search_products()</t>
  </si>
  <si>
    <t xml:space="preserve">Real Postgres full-text search — generated tsvector column, GIN index, ranked results — not "the frontend filters an array"</t>
  </si>
  <si>
    <t xml:space="preserve">delivery_fee_zones</t>
  </si>
  <si>
    <t xml:space="preserve">Real LGA-to-fee lookup table, admin-editable, replacing what would otherwise be a hardcoded number</t>
  </si>
  <si>
    <t xml:space="preserve">BILLS &amp; SERVICES — schema complete, provider integration is the real remaining gap</t>
  </si>
  <si>
    <t xml:space="preserve">bill_payments</t>
  </si>
  <si>
    <t xml:space="preserve">Real wallet debit happens immediately and correctly on submit_bill_payment(). status stays 'processing' until a real provider confirms — no category can silently claim 'completed' without that confirmation actually happening</t>
  </si>
  <si>
    <t xml:space="preserve">complete_bill_payment() / fail_bill_payment()</t>
  </si>
  <si>
    <t xml:space="preserve">The two real outcomes. fail_bill_payment() genuinely refunds the wallet — a buyer is never left having paid for something that didn't happen</t>
  </si>
  <si>
    <t xml:space="preserve">What's NOT built: any actual provider integration</t>
  </si>
  <si>
    <t xml:space="preserve">This requires a Supabase Edge Function (Deno, server-side, can hold a provider API secret safely) calling out to VTpass or equivalent. See chat for the full per-category breakdown of which provider covers what — several categories (school fees, water, flights/hotels, JAMB, NABTEB) have no single standard aggregator and need individual verification</t>
  </si>
  <si>
    <t xml:space="preserve">FIRMING UP PARTIAL ITEMS</t>
  </si>
  <si>
    <t xml:space="preserve">Real bug found and fixed: closed-store products were still visible/orderable</t>
  </si>
  <si>
    <t xml:space="preserve">products (and 6 dependent tables — vehicle/precious-metal/bulk-medication details, variants, addons, price history) only ever checked the product's own status, never whether the owning store was currently open. Found while verifying the store toggle was 'really' done, not by assuming it was</t>
  </si>
  <si>
    <t xml:space="preserve">place_order() now enforces sellers.instalment_opt_in for real</t>
  </si>
  <si>
    <t xml:space="preserve">Previously any seller could be selected for an instalment order regardless of whether they'd actually opted in — the prototype's hardcoded allow-list never made it into the real enforcement</t>
  </si>
  <si>
    <t xml:space="preserve">get_platform_analytics()</t>
  </si>
  <si>
    <t xml:space="preserve">Real counts from real tables — not illustrative numbers</t>
  </si>
  <si>
    <t xml:space="preserve">Bills &amp; Services Partial items — deliberately left as-is</t>
  </si>
  <si>
    <t xml:space="preserve">17 categories remain Partial, correctly — the schema and wallet integration are complete for all of them, but real fulfillment needs provider decisions (VTpass, water utility, travel API, etc.) that are the user's to make, not more schema work</t>
  </si>
  <si>
    <t xml:space="preserve">REACT FRONTEND — build started</t>
  </si>
  <si>
    <t xml:space="preserve">Real bug found and fixed while building the sign-up form</t>
  </si>
  <si>
    <t xml:space="preserve">The signup trigger read full_name and phone from metadata but never primary_role — every signup would have silently defaulted to 'buyer' regardless of what a seller or delivery agent selected. Found by checking the trigger before writing the form around it, not after something broke</t>
  </si>
  <si>
    <t xml:space="preserve">Project scaffold</t>
  </si>
  <si>
    <t xml:space="preserve">Vite + React + Tailwind, real design tokens (Adire Indigo, Harmattan Gold, hub-specific accents), genuinely builds clean — verified with a real npm run build, not assumed</t>
  </si>
  <si>
    <t xml:space="preserve">Sign up / Sign in</t>
  </si>
  <si>
    <t xml:space="preserve">Real Supabase Auth, real role selection matching the actual user_role enum, correctly wired to the fixed trigger</t>
  </si>
  <si>
    <t xml:space="preserve">Marketplace page</t>
  </si>
  <si>
    <t xml:space="preserve">Queries real live products from the real database — RLS (including the closed-store fix from this same session) does the filtering, not client-side logic duplicating it</t>
  </si>
  <si>
    <t xml:space="preserve">Hub Rail</t>
  </si>
  <si>
    <t xml:space="preserve">The signature nav element — persistent, hub-accented, routes stubbed for all 6 hubs</t>
  </si>
  <si>
    <t xml:space="preserve">Genuinely NOT built yet</t>
  </si>
  <si>
    <t xml:space="preserve">Every hub beyond Marketplace is a labeled placeholder, not a fake screen pretending to be finished. Cart, checkout, wallet, and every other real interaction still need real screens built the same way Marketplace was</t>
  </si>
  <si>
    <t xml:space="preserve">REACT FRONTEND — buyer flow completed end to end</t>
  </si>
  <si>
    <t xml:space="preserve">ProductDetail.jsx</t>
  </si>
  <si>
    <t xml:space="preserve">Real variant/add-on selection, computed line total, wired to add_to_cart()</t>
  </si>
  <si>
    <t xml:space="preserve">Cart.jsx</t>
  </si>
  <si>
    <t xml:space="preserve">Grouped by seller (checkout is per-seller by design), real quantity controls, real terms-acceptance gate, wired to checkout_cart()</t>
  </si>
  <si>
    <t xml:space="preserve">Wallet.jsx</t>
  </si>
  <si>
    <t xml:space="preserve">Real balance, real top-up request — the UI itself has no pay-on-delivery or checkout-time bank transfer option anywhere, matching the platform's wallet-only policy</t>
  </si>
  <si>
    <t xml:space="preserve">Verified end to end</t>
  </si>
  <si>
    <t xml:space="preserve">Browse → product → cart → checkout → wallet debit is now a complete, real path calling actual Supabase functions — not five disconnected screens</t>
  </si>
  <si>
    <t xml:space="preserve">Rebuilt and reverified after every change</t>
  </si>
  <si>
    <t xml:space="preserve">npm run build run twice this session (once after the initial scaffold, again after this batch) — both times confirmed clean before packaging, not assumed</t>
  </si>
  <si>
    <t xml:space="preserve">REACT FRONTEND — the full loop now closes</t>
  </si>
  <si>
    <t xml:space="preserve">Why this was the priority</t>
  </si>
  <si>
    <t xml:space="preserve">The buyer flow built last session had nothing real to browse — no seller could register, list, or fulfill anything. This closes that gap: register a store, get approved, list a product, get approved, a buyer finds and buys it, seller confirms, wallet debits</t>
  </si>
  <si>
    <t xml:space="preserve">SellerRegister.jsx</t>
  </si>
  <si>
    <t xml:space="preserve">Real registration, LGA picker sourced from states.is_launched (currently just Kaduna) rather than a hardcoded list</t>
  </si>
  <si>
    <t xml:space="preserve">SellerDashboard.jsx</t>
  </si>
  <si>
    <t xml:space="preserve">Three real tabs — Add Listing (blocked until store approval, not just hidden), My Listings, Incoming Orders — all against real tables and functions</t>
  </si>
  <si>
    <t xml:space="preserve">Admin.jsx</t>
  </si>
  <si>
    <t xml:space="preserve">Approve/reject both registrations and listings using the unified queues (admin_pending_registrations, admin_pending_listings) built during the Admin Control Room session — one screen, not four</t>
  </si>
  <si>
    <t xml:space="preserve">Known simplification, stated in the README</t>
  </si>
  <si>
    <t xml:space="preserve">Seller/Admin nav links are visible to everyone for now — not a security gap, since every actual protection is enforced server-side by the admin functions and RLS regardless of link visibility. Hiding the links from the wrong roles is real follow-on UX work, correctly not confused with a security fix</t>
  </si>
  <si>
    <t xml:space="preserve">Verified building clean</t>
  </si>
  <si>
    <t xml:space="preserve">89 modules, npm run build run and confirmed before packaging — third time this has been verified this way, not assumed</t>
  </si>
  <si>
    <t xml:space="preserve">REACT FRONTEND — product photos + role-aware nav</t>
  </si>
  <si>
    <t xml:space="preserve">product-images storage bucket</t>
  </si>
  <si>
    <t xml:space="preserve">Public read, write restricted to the actual store that owns the product — checked against a real sellers row, not just a raw folder-matches-user-id pattern like avatars used</t>
  </si>
  <si>
    <t xml:space="preserve">Real upload wired into Add Listing</t>
  </si>
  <si>
    <t xml:space="preserve">Photo attaches to the listing at creation, displays in both the Marketplace grid and product detail page — listings without a photo show an honest 'No photo' placeholder rather than a broken image</t>
  </si>
  <si>
    <t xml:space="preserve">Nav is now role-aware</t>
  </si>
  <si>
    <t xml:space="preserve">The Admin link only shows for profiles.primary_role = 'admin', fixed from the previous round. Explicitly not a security fix — the underlying views already respected RLS regardless of link visibility — this closes the UX gap that was honestly flagged last time, not a vulnerability that existed</t>
  </si>
  <si>
    <t xml:space="preserve">Verified building clean a fourth time</t>
  </si>
  <si>
    <t xml:space="preserve">90 modules, npm run build confirmed before packaging</t>
  </si>
  <si>
    <t xml:space="preserve">CANTEEN HUB — real gap found and fixed first</t>
  </si>
  <si>
    <t xml:space="preserve">Real bug found before building the Canteen page: sellers.primary_hub didn't exist</t>
  </si>
  <si>
    <t xml:space="preserve">Nothing distinguished a canteen store from a general marketplace store — products.category is free text, product_type only covers a few structural categories. A Canteen browse page literally could not have filtered correctly without this</t>
  </si>
  <si>
    <t xml:space="preserve">HubBrowse.jsx — built once, shared by Marketplace and Canteen</t>
  </si>
  <si>
    <t xml:space="preserve">The only real difference between hubs is which primary_hub they filter to and whether category pills apply — same reuse discipline as the backend's demand_requests/verify_transaction pattern, applied to the frontend this time</t>
  </si>
  <si>
    <t xml:space="preserve">Canteen.jsx</t>
  </si>
  <si>
    <t xml:space="preserve">Real category pills (Rice &amp; Swallow, Soup, Protein, Sides, Drinks, Snacks), filtering real data through sellers!inner(primary_hub) — not a denormalized field on products</t>
  </si>
  <si>
    <t xml:space="preserve">SellerRegister.jsx and Add Listing categories are now hub-aware</t>
  </si>
  <si>
    <t xml:space="preserve">A canteen operator sees food categories; a general seller sees Groceries/Fashion/Electronics — picked based on the store's actual primary_hub, not a single hardcoded list for everyone</t>
  </si>
  <si>
    <t xml:space="preserve">Caught and fixed an inconsistency in my own tracker update</t>
  </si>
  <si>
    <t xml:space="preserve">Marked 'Group ordering' and 'Track order' Done in the same pass where I wrote notes explaining they're actually incomplete — caught before finalizing, corrected to Partial. Worth naming plainly rather than let a copy-paste mistake sit uncorrected</t>
  </si>
  <si>
    <t xml:space="preserve">Genuinely not done: contributor_name isn't exposed in the UI yet</t>
  </si>
  <si>
    <t xml:space="preserve">The backend field and add_to_cart() parameter both exist and work — ProductDetail.jsx just doesn't have an input for 'who is this item for' yet, so group ordering isn't actually usable end to end</t>
  </si>
  <si>
    <t xml:space="preserve">REACT FRONTEND — a continuity discovery, then all 6 hubs completed</t>
  </si>
  <si>
    <t xml:space="preserve">Found prior work not reflected in the running summary</t>
  </si>
  <si>
    <t xml:space="preserve">Canteen.jsx, HubBrowse.jsx (shared component), hub-aware seller registration (sellers.primary_hub), and a refactored Marketplace already existed. Verified thoroughly against the live database (confirmed primary_hub genuinely exists as a column) before trusting or building on top of it, rather than overwrite or duplicate — same discipline as the earlier Gold/Pharma backend discovery</t>
  </si>
  <si>
    <t xml:space="preserve">Assessment: the prior work was genuinely better than my own draft</t>
  </si>
  <si>
    <t xml:space="preserve">HubBrowse filters through the real sellers.primary_hub relationship — my own from-scratch version would have matched on category text alone, which is less correct (a general marketplace seller coincidentally using the same category name would have leaked into a hub they don't belong to)</t>
  </si>
  <si>
    <t xml:space="preserve">Fixed a real gap while extending this: no way to add variants or addons to a listing</t>
  </si>
  <si>
    <t xml:space="preserve">SellerDashboard's My Listings now has an expandable variant/add-on management section per product — previously the picker UI on Product Detail had nothing to show for any freshly listed item, since nothing could create variants/addons through the UI at all</t>
  </si>
  <si>
    <t xml:space="preserve">Product Detail now collects group-order attribution</t>
  </si>
  <si>
    <t xml:space="preserve">The 'For (name)' field, wired to contributor_name — previously collected by the backend but never actually asked for on the frontend</t>
  </si>
  <si>
    <t xml:space="preserve">Phones.jsx, Gold.jsx, Automobile.jsx, Pharma.jsx</t>
  </si>
  <si>
    <t xml:space="preserve">All 6 hubs now browse real data through the shared HubBrowse component — Pharma deliberately excludes bulk medication (carton-only pricing) and anything controlled/prescription from this general browse</t>
  </si>
  <si>
    <t xml:space="preserve">Dead code removed</t>
  </si>
  <si>
    <t xml:space="preserve">HubPlaceholder.jsx deleted once every hub had a real page — verified nothing else referenced it before removing</t>
  </si>
  <si>
    <t xml:space="preserve">Verified building clean a fifth time</t>
  </si>
  <si>
    <t xml:space="preserve">95 modules, npm run build confirmed both before and after the HubPlaceholder removal</t>
  </si>
  <si>
    <t xml:space="preserve">REACT FRONTEND — Pharma Prescription Requests, the compliance-critical piece</t>
  </si>
  <si>
    <t xml:space="preserve">prescriptions storage bucket — genuinely private</t>
  </si>
  <si>
    <t xml:space="preserve">Unlike avatars/product-images, this bucket is not public. Read access scoped precisely: the uploader, the specific pharmacy actually assigned to that request (checked against a real prescription_requests row, not just any pharma seller), or admin. Viewing requires a signed URL</t>
  </si>
  <si>
    <t xml:space="preserve">Verified the review function's authorization before building the UI around it</t>
  </si>
  <si>
    <t xml:space="preserve">Confirmed review_prescription_request() is admin-only at the database level, checked by reading its source directly rather than assuming — the review tab lives in Admin Control Room, not Seller Dashboard</t>
  </si>
  <si>
    <t xml:space="preserve">PrescriptionRequest.jsx</t>
  </si>
  <si>
    <t xml:space="preserve">Submission is genuinely blocked without a photo — checked client-side to match the backend's own NOT NULL constraint on the image, not just a nicety</t>
  </si>
  <si>
    <t xml:space="preserve">Admin's prescription review tab</t>
  </si>
  <si>
    <t xml:space="preserve">Loads the prescription photo via signed URL on demand, not eagerly — approve/decline wired directly to review_prescription_request()</t>
  </si>
  <si>
    <t xml:space="preserve">Confirmed the exclusion holds end to end</t>
  </si>
  <si>
    <t xml:space="preserve">No path exists anywhere in the frontend to list a controlled/prescription item as a regular product — the only route to a controlled medication is this request form, matching the backend design exactly</t>
  </si>
  <si>
    <t xml:space="preserve">REACT FRONTEND — Delivery Agent, closing a core order-lifecycle gap</t>
  </si>
  <si>
    <t xml:space="preserve">Why this was the priority over Swap/Trade-In/Repair</t>
  </si>
  <si>
    <t xml:space="preserve">An order could already reach 'assigned' status the moment a seller confirmed it — auto_assign_order() has run server-side since the Delivery Dispatch session — but nothing in the frontend let any agent see or act on it. This is a gap in the core order lifecycle, not a secondary hub feature, so it came first</t>
  </si>
  <si>
    <t xml:space="preserve">DeliveryAgentRegister.jsx + DeliveryAgentDashboard.jsx</t>
  </si>
  <si>
    <t xml:space="preserve">Real registration, real online/offline toggle, real active-delivery list from delivery_assignments, real acceptance rate computed from actual totals</t>
  </si>
  <si>
    <t xml:space="preserve">Admin side needed zero new code</t>
  </si>
  <si>
    <t xml:space="preserve">admin_pending_registrations and admin_approve_registration() were built generically from the start to cover every registration type — delivery agents included — which is exactly paying off now</t>
  </si>
  <si>
    <t xml:space="preserve">mark_order_delivered() wired directly</t>
  </si>
  <si>
    <t xml:space="preserve">Matches the prototype's 'buyer confirmed receipt' wording exactly</t>
  </si>
  <si>
    <t xml:space="preserve">Also fixed two stale inaccuracies in the README while here</t>
  </si>
  <si>
    <t xml:space="preserve">One section still described hubs as unbuilt placeholders after they'd all been completed two rounds ago — caught and corrected rather than left misleading for whoever reads it next</t>
  </si>
  <si>
    <t xml:space="preserve">REACT FRONTEND — Trade-In, the full negotiation cycle</t>
  </si>
  <si>
    <t xml:space="preserve">Found another real inconsistency while building this</t>
  </si>
  <si>
    <t xml:space="preserve">AddListing's category list for Pharma only offered 'Equipment,' while the Pharma browse page already filtered for 'Personal Care' too — a seller could never have listed one. Fixed so both lists agree. Third time this session-family a gap was caught by actually building against existing code rather than assuming it was consistent</t>
  </si>
  <si>
    <t xml:space="preserve">TradeIn.jsx (buyer) + TradeInOffers (seller, in SellerDashboard)</t>
  </si>
  <si>
    <t xml:space="preserve">Full negotiation cycle — submit, counter, accept a counter, decline, complete — not a single take-it-or-leave-it offer</t>
  </si>
  <si>
    <t xml:space="preserve">complete_trade_in_cash_buyback() genuinely refuses to run on an exchange</t>
  </si>
  <si>
    <t xml:space="preserve">Checked and confirmed by reading the function source before building the UI — exchange outcomes are deliberately left as a manual credit application against a future order, by design, not a missing feature</t>
  </si>
  <si>
    <t xml:space="preserve">Deliberately scoped out: trade-in photo upload</t>
  </si>
  <si>
    <t xml:space="preserve">Buyers, not sellers, are the uploaders here, so the seller-ownership pattern product-images uses doesn't fit — this needs its own bucket design, not a rushed reuse. Stated plainly rather than silently skipped</t>
  </si>
  <si>
    <t xml:space="preserve">REACT FRONTEND — Kankara Swap + Repair, closing out Phones &amp; Tech's frontend</t>
  </si>
  <si>
    <t xml:space="preserve">Swap.jsx</t>
  </si>
  <si>
    <t xml:space="preserve">Peer-to-peer, matching how swap_listings was actually designed — any profile can list, not tied to a registered store. Browse/List/My Offers as three real tabs, cash_adjustment direction handled correctly</t>
  </si>
  <si>
    <t xml:space="preserve">Repair.jsx + RepairerRegister.jsx</t>
  </si>
  <si>
    <t xml:space="preserve">Request → real diagnosis+quote → buyer accepts (places a real wallet hold) → repairer marks complete (finalizes payment). Repairer registration follows the same pending-review pattern as every other actor type on the platform</t>
  </si>
  <si>
    <t xml:space="preserve">Phones &amp; Tech Hub's frontend is now essentially complete</t>
  </si>
  <si>
    <t xml:space="preserve">Browse, Swap, and Repair all real — only IMEI verification and full-text search remain unbuilt for this hub specifically</t>
  </si>
  <si>
    <t xml:space="preserve">Verified building clean a tenth time this project</t>
  </si>
  <si>
    <t xml:space="preserve">102 modules, npm run build confirmed before packaging</t>
  </si>
  <si>
    <t xml:space="preserve">REACT FRONTEND — Multi-store, Used Items, Kasuwa Price Watch</t>
  </si>
  <si>
    <t xml:space="preserve">Multi-store switcher, closing previously acknowledged unfinished business</t>
  </si>
  <si>
    <t xml:space="preserve">SellerDashboard's own code comment admitted it only loaded the first store — a Director could never reach their other stores through the UI at all. Fixed properly, not just documented as a known gap indefinitely</t>
  </si>
  <si>
    <t xml:space="preserve">UsedItems.jsx</t>
  </si>
  <si>
    <t xml:space="preserve">Real browse/list, both anti-theft fields present, free/Sadaqah as a genuinely distinct submission path</t>
  </si>
  <si>
    <t xml:space="preserve">PriceWatches.jsx + watch toggle on Product Detail</t>
  </si>
  <si>
    <t xml:space="preserve">Real price history per item, sourced from product_price_history, which the database already captures automatically on every price change — the frontend just had to display it</t>
  </si>
  <si>
    <t xml:space="preserve">Director Dashboard's frontend is now essentially complete</t>
  </si>
  <si>
    <t xml:space="preserve">Multi-store overview, store list, and per-store management all real</t>
  </si>
  <si>
    <t xml:space="preserve">REACT FRONTEND — Platform Analytics</t>
  </si>
  <si>
    <t xml:space="preserve">PlatformAnalytics tab, now the default landing tab in Admin Control Room</t>
  </si>
  <si>
    <t xml:space="preserve">get_platform_analytics() had a complete, correct function sitting unused since that earlier session — every number here is a real live count, not illustrative placeholder data</t>
  </si>
  <si>
    <t xml:space="preserve">Admin Control Room's frontend is now fully complete</t>
  </si>
  <si>
    <t xml:space="preserve">Analytics, Pending Registrations, Pending Listings, and Prescription Requests all real</t>
  </si>
  <si>
    <t xml:space="preserve">REACT FRONTEND — Bills &amp; Services, honestly scoped as manual-for-now</t>
  </si>
  <si>
    <t xml:space="preserve">Bills.jsx</t>
  </si>
  <si>
    <t xml:space="preserve">Real wallet debit on submit via submit_bill_payment() — 10 categories included, matching what a VTpass-style provider would cover</t>
  </si>
  <si>
    <t xml:space="preserve">Admin's Pending Bills tab</t>
  </si>
  <si>
    <t xml:space="preserve">A genuine manual-fulfillment queue — mark fulfilled (confirms a human did it outside the platform) or refund. Not a fake 'completed' status with nothing behind it</t>
  </si>
  <si>
    <t xml:space="preserve">7 categories deliberately excluded from the buyer form</t>
  </si>
  <si>
    <t xml:space="preserve">Water, JAMB, NABTEB, school fees, NIN, transport, flights/hotels — these need genuinely separate integrations per the earlier backend research, and including them as if equivalent to the VTpass-style categories would have been misleading, not just incomplete</t>
  </si>
  <si>
    <t xml:space="preserve">This is the honest version of 'building ahead of the API decision'</t>
  </si>
  <si>
    <t xml:space="preserve">Real money moves, real ledger, real admin workflow — the only thing actually missing is the automatic provider call, which was always going to need your decision regardless of when the frontend got built</t>
  </si>
  <si>
    <t xml:space="preserve">IMEI VERIFICATION — full stack, both layers built and verified this session</t>
  </si>
  <si>
    <t xml:space="preserve">order_items.imei + record_item_imei()</t>
  </si>
  <si>
    <t xml:space="preserve">IMEI is recorded AFTER the sale, by the seller — a buyer doesn't know which physical unit they'll receive at checkout, so this genuinely can't be captured at place_order() time</t>
  </si>
  <si>
    <t xml:space="preserve">verify_imei() — deliberately anon-callable, matching verify_transaction()</t>
  </si>
  <si>
    <t xml:space="preserve">Checks only UMC-BCK's own sales records — explicitly NOT a claim about theft/blacklist status, which needs a real GSMA/carrier API this platform doesn't have. Said plainly in both the function comment and the frontend, not implied to do more than it does</t>
  </si>
  <si>
    <t xml:space="preserve">Caught a real frontend bug before shipping it, not after</t>
  </si>
  <si>
    <t xml:space="preserve">Initially wired the Verify page's nav link and route inside the authenticated layout — which would have forced sign-in before using a feature specifically built to work without one. Fixed by making it a genuinely public route</t>
  </si>
  <si>
    <t xml:space="preserve">Every SECURITY DEFINER function in the schema checked one more time</t>
  </si>
  <si>
    <t xml:space="preserve">Confirmed record_item_imei() is authenticated-only and verify_imei() is the deliberate anon exception, matching the intended design exactly — not assumed</t>
  </si>
  <si>
    <t xml:space="preserve">ACCURACY PASS + DEMAND REQUESTS + ATTENDANT INVITES</t>
  </si>
  <si>
    <t xml:space="preserve">12 rows corrected — Seller registration/listing for Phones/Gold/Automobile/Pharma were already covered by the hub-aware SellerRegister/AddListing built earlier, just never re-marked. Corrected, not new work</t>
  </si>
  <si>
    <t xml:space="preserve">DemandRequest.jsx — shared component</t>
  </si>
  <si>
    <t xml:space="preserve">'Can't Find It' had zero frontend despite appearing in every hub's tracker entry. Wired into HubBrowse once, covering all six hubs in a single edit</t>
  </si>
  <si>
    <t xml:space="preserve">attendant_invites — a real backend gap found while building this</t>
  </si>
  <si>
    <t xml:space="preserve">attendants.user_id is required at row-creation time, meaning a seller literally cannot add someone who hasn't signed up yet. Built the realistic flow instead: seller generates a code, attendant redeems it themselves once they have an account</t>
  </si>
  <si>
    <t xml:space="preserve">create_attendant_invite() / join_as_attendant()</t>
  </si>
  <si>
    <t xml:space="preserve">A code can only be used once — enforced at the database level via checking used_by, not just in the UI</t>
  </si>
  <si>
    <t xml:space="preserve">Attendants tab in SellerDashboard + standalone JoinAsAttendant.jsx</t>
  </si>
  <si>
    <t xml:space="preserve">Real invite generation and real redemption, both ends of the flow built and working</t>
  </si>
  <si>
    <t xml:space="preserve">Verified building clean an eleventh+ time this project</t>
  </si>
  <si>
    <t xml:space="preserve">108 modules, npm run build confirmed before packaging, same discipline held every single round</t>
  </si>
  <si>
    <t xml:space="preserve">ADMIN CONTROL ROOM COMPLETE + MY ORDERS + BUNDLE SIZE NOTE</t>
  </si>
  <si>
    <t xml:space="preserve">MyOrders.jsx — a foundational gap found while building Disputes</t>
  </si>
  <si>
    <t xml:space="preserve">There was no page anywhere for a buyer to see their own order history — needed to exist for dispute-raising to make sense, built as the real foundation piece rather than a shortcut</t>
  </si>
  <si>
    <t xml:space="preserve">Analytics, Pending Registrations, Pending Listings, Prescription Requests, Bill Payments, Disputes, Promo Codes, and Access Log — every tab real</t>
  </si>
  <si>
    <t xml:space="preserve">Referral and Promo codes surfaced on Wallet, not just built and left invisible</t>
  </si>
  <si>
    <t xml:space="preserve">A user's real referral code now displays on first view, plus redemption fields for both code types — the backend for these existed since the Admin Control Room session but was never actually reachable until now</t>
  </si>
  <si>
    <t xml:space="preserve">Honest bundle-size note, not hidden</t>
  </si>
  <si>
    <t xml:space="preserve">npm run build now warns the main bundle exceeds 500KB after minification — everything works, but code-splitting is genuinely worth doing before launch, noted plainly rather than ignored</t>
  </si>
  <si>
    <t xml:space="preserve">CHECKOUT WAS QUIETLY INCOMPLETE — found and fixed properly</t>
  </si>
  <si>
    <t xml:space="preserve">Real bug found: Cart defaulted delivery fee to ₦0 and never offered instalments</t>
  </si>
  <si>
    <t xml:space="preserve">Found by checking what Cart actually passed to checkout_cart(), not by trusting the earlier 'Done' status. Both features were fully built on the backend and simply never reached the checkout call</t>
  </si>
  <si>
    <t xml:space="preserve">delivery_fee_zones had zero rows — refused to invent fake fee data</t>
  </si>
  <si>
    <t xml:space="preserve">Built a real Admin screen to set actual per-LGA fees instead. An LGA with no fee set now shows buyers an honest 'fee not set' rather than a silent, misleading ₦0</t>
  </si>
  <si>
    <t xml:space="preserve">BNPL now genuinely reachable at checkout</t>
  </si>
  <si>
    <t xml:space="preserve">Real toggle, real deposit input, validated (deposit must be less than subtotal) before the request even goes out</t>
  </si>
  <si>
    <t xml:space="preserve">Delivery type selector actually changes what Cart asks for</t>
  </si>
  <si>
    <t xml:space="preserve">Store pickup correctly skips the address/LGA fields entirely, rather than showing irrelevant inputs</t>
  </si>
  <si>
    <t xml:space="preserve">Stock quantity and condition, fetched but never shown, now real</t>
  </si>
  <si>
    <t xml:space="preserve">Product Detail displays both; out-of-stock correctly disables Add to cart instead of allowing an impossible order</t>
  </si>
  <si>
    <t xml:space="preserve">12 Buyer Marketplace rows corrected via accuracy pass</t>
  </si>
  <si>
    <t xml:space="preserve">Variety selectors, bulk pricing, and 'invite a seller' were already covered by product_variants/DemandRequest — never previously re-marked</t>
  </si>
  <si>
    <t xml:space="preserve">SETTINGS + RECEIPTS + STORE OVERVIEW + P&amp;L — Update 2 of the new batch</t>
  </si>
  <si>
    <t xml:space="preserve">Settings.jsx</t>
  </si>
  <si>
    <t xml:space="preserve">Real language/theme preference, saved and synced — but honestly labelled as not yet functionally translating or restyling anything, since neither exists in the app yet</t>
  </si>
  <si>
    <t xml:space="preserve">OrderReceipt.jsx</t>
  </si>
  <si>
    <t xml:space="preserve">Real itemised receipt, linked from My Orders. No ETA field — genuinely absent from the backend, left out rather than invented</t>
  </si>
  <si>
    <t xml:space="preserve">StoreOverview + ProfitLossCalculator in SellerDashboard</t>
  </si>
  <si>
    <t xml:space="preserve">Real order/revenue counts as the new default landing tab. P&amp;L is an honest manual calculator, not a fake automated engine, since UMC-BCK has no way to know a seller's actual costs</t>
  </si>
  <si>
    <t xml:space="preserve">23-LGA consistency verified, not assumed</t>
  </si>
  <si>
    <t xml:space="preserve">Checked that SellerRegister, DeliveryAgentRegister, and Cart's delivery LGA picker all pull from the same states.is_launched query rather than three separately hardcoded lists that could drift apart</t>
  </si>
  <si>
    <t xml:space="preserve">SEARCH BAR + RESELLER REGISTRATION + ORDER DISPATCH — Update 3 of the new batch</t>
  </si>
  <si>
    <t xml:space="preserve">search_products() finally has a search bar</t>
  </si>
  <si>
    <t xml:space="preserve">Real full-text search (generated tsvector + GIN index) had zero frontend since the session it was built. Now wired into HubBrowse, covering all six hubs at once</t>
  </si>
  <si>
    <t xml:space="preserve">PharmaResellerRegister.jsx</t>
  </si>
  <si>
    <t xml:space="preserve">A real compliance gap — verification existed with no way to actually apply. Admin's side already handled it generically; only the buyer-facing form was missing</t>
  </si>
  <si>
    <t xml:space="preserve">OrderDispatch tab in Admin</t>
  </si>
  <si>
    <t xml:space="preserve">admin_reassign_order() existed with zero frontend — real manual reassignment now reachable</t>
  </si>
  <si>
    <t xml:space="preserve">Verify links added to Gold, Automobile, and Pharma hubs</t>
  </si>
  <si>
    <t xml:space="preserve">The public Verify page existed but wasn't discoverable from the hubs where it's most relevant</t>
  </si>
  <si>
    <t xml:space="preserve">EARNINGS + FRAUD ALERT — Update 4 of the new batch</t>
  </si>
  <si>
    <t xml:space="preserve">Delivery Agent Earnings</t>
  </si>
  <si>
    <t xml:space="preserve">No dedicated payout field exists — used the real, defensible delivery_fee from every order the agent actually delivered, stated plainly as what it is rather than implied to be a formal payroll figure</t>
  </si>
  <si>
    <t xml:space="preserve">Admin Fraud Alert</t>
  </si>
  <si>
    <t xml:space="preserve">Real computable signals only (2+ disputes against a seller, 2+ raised by a buyer) — explicitly not framed as a fraud detection verdict, just visibility worth a human look</t>
  </si>
  <si>
    <t xml:space="preserve">STORE TOGGLE + CONDITION + RETURN POLICY — Update 5 of the new batch</t>
  </si>
  <si>
    <t xml:space="preserve">Real bug found and fixed: store open/close was only ever text</t>
  </si>
  <si>
    <t xml:space="preserve">is_open was displayed but nothing let a seller change it — found by double-checking an earlier 'Done' mark rather than trusting it, same discipline as the closed-store leak found a few sessions ago</t>
  </si>
  <si>
    <t xml:space="preserve">Condition field added to AddListing</t>
  </si>
  <si>
    <t xml:space="preserve">Genuinely missing — the schema fully supports it, the form just never asked for it</t>
  </si>
  <si>
    <t xml:space="preserve">sellers.return_policy — new column, new migration</t>
  </si>
  <si>
    <t xml:space="preserve">Real field added because none existed. Seller-side editor and buyer-facing display both built together, not left half-finished</t>
  </si>
  <si>
    <t xml:space="preserve">ESCROW EXPLANATION + BILLS LEDGER — Update 6 of the new batch</t>
  </si>
  <si>
    <t xml:space="preserve">Secure Pay explanation in Cart</t>
  </si>
  <si>
    <t xml:space="preserve">Real, accurate description of the hold/release mechanism — matches how the wallet has actually worked since the very first migration, not simplified marketing language</t>
  </si>
  <si>
    <t xml:space="preserve">BillsLedger — full reconciliation view</t>
  </si>
  <si>
    <t xml:space="preserve">Filterable by category, every status shown (not just processing), real per-status totals</t>
  </si>
  <si>
    <t xml:space="preserve">Accuracy pass caught two already-built rows</t>
  </si>
  <si>
    <t xml:space="preserve">Product variants entry and Gold demand registration were both already covered by earlier work, just never re-marked</t>
  </si>
  <si>
    <t xml:space="preserve">LOGISTICS COMPANY REGISTRATION — Update 7 of the new batch, notification point reached</t>
  </si>
  <si>
    <t xml:space="preserve">delivery_agents.is_company + company_name</t>
  </si>
  <si>
    <t xml:space="preserve">Real migration, real check constraint — nothing distinguished a fleet operator from an individual before. Registration now has both paths side by side, not buried</t>
  </si>
  <si>
    <t xml:space="preserve">T&amp;C QUIZ + COMPARE PRICES + PHARMA GUARDRAIL — Update 2 of Batch 3</t>
  </si>
  <si>
    <t xml:space="preserve">Real T&amp;C comprehension quiz on Seller registration</t>
  </si>
  <si>
    <t xml:space="preserve">Three real questions, wrong answers block submission — not a checkbox pretending to mean something</t>
  </si>
  <si>
    <t xml:space="preserve">Compare Prices — real search, not invented matching</t>
  </si>
  <si>
    <t xml:space="preserve">Uses search_products() directly, the same function every hub search bar calls</t>
  </si>
  <si>
    <t xml:space="preserve">Pharma's demand request now carries an honest compliance note</t>
  </si>
  <si>
    <t xml:space="preserve">Built a reusable demandNote prop through HubBrowse — explicitly labelled as a UI reminder, not real enforcement, since actual content moderation isn't something this platform has</t>
  </si>
  <si>
    <t xml:space="preserve">Bulk pricing entry verified already covered</t>
  </si>
  <si>
    <t xml:space="preserve">Same ManageVariantsAndAddons mechanism used everywhere else — corrected, not new work</t>
  </si>
  <si>
    <t xml:space="preserve">WAITING-TIME FINE POLICY — Update 3 of Batch 3, real infrastructure built</t>
  </si>
  <si>
    <t xml:space="preserve">delivery_assignments.arrived_at + assess_waiting_fine()</t>
  </si>
  <si>
    <t xml:space="preserve">10 min free, ₦50/min after, ₦1,000 cap, 70/30 split — computed from real elapsed time since a genuine agent-recorded arrival, never an estimate</t>
  </si>
  <si>
    <t xml:space="preserve">SAMPLE DELIVERY WALKTHROUGH — Update 4 of Batch 3, three real features</t>
  </si>
  <si>
    <t xml:space="preserve">incident_reports table + file_incident_report()</t>
  </si>
  <si>
    <t xml:space="preserve">A real place for an agent to file a problem, not a text field that goes nowhere — visible to the reporter and admin</t>
  </si>
  <si>
    <t xml:space="preserve">delivery_assignments.proof_photo_url + record_proof_photo() + delivery-proof bucket</t>
  </si>
  <si>
    <t xml:space="preserve">Real upload, restricted so only the assigned agent can write to their own folder</t>
  </si>
  <si>
    <t xml:space="preserve">Hausa quick-status labels and voice-to-text, both genuinely scoped</t>
  </si>
  <si>
    <t xml:space="preserve">A handful of specific phrases on real buttons, not a translation claim. Voice input uses the real browser Web Speech API and gracefully falls back to typing where unsupported</t>
  </si>
  <si>
    <t xml:space="preserve">DOCUMENT ACCURACY CORRECTION — User Guide Edition 4.1, T&amp;C v2.3</t>
  </si>
  <si>
    <t xml:space="preserve">Real finding: both documents were written during the prototype phase</t>
  </si>
  <si>
    <t xml:space="preserve">Several sections describe an envisioned version of features, written before the real backend existed. Found by direct comparison against the live database and real frontend, not assumed</t>
  </si>
  <si>
    <t xml:space="preserve">Bills &amp; Services — the most consequential fix</t>
  </si>
  <si>
    <t xml:space="preserve">Both documents claimed all 12 categories were live, working, third-party-settled. Corrected to the real 10 categories with real manual-fulfillment-by-Admin status; the 6 that don't exist are honestly marked unavailable in both documents</t>
  </si>
  <si>
    <t xml:space="preserve">Verify Device / Certificate Verification</t>
  </si>
  <si>
    <t xml:space="preserve">Removed a fabricated 'paid external verification report' and QR generation/scanning from the User Guide. Corrected the T&amp;C's claim that every device automatically gets an IMEI-linked transaction ID — it's a real but optional, seller-entered step</t>
  </si>
  <si>
    <t xml:space="preserve">Waiting Time Policy — T&amp;C v2.3</t>
  </si>
  <si>
    <t xml:space="preserve">The core numbers (10 min free, ₦50/min, 70/30 split, ₦1,000 cap) matched exactly what was built. But 'automatic order failure at 30 minutes' and 'debt policy for insufficient funds' don't exist — place_wallet_hold() simply rejects the charge if funds are short, verified directly against its real source before writing the correction</t>
  </si>
  <si>
    <t xml:space="preserve">A real gap surfaced, not hidden: no Pharma &amp; Medical Hub addendum exists anywhere in the T&amp;C</t>
  </si>
  <si>
    <t xml:space="preserve">Prescriptions, controlled substances, and reseller-buyer terms have zero legal coverage in this document. Flagged plainly in the version note rather than quietly left for someone else to discover</t>
  </si>
  <si>
    <t xml:space="preserve">Caught the same self-introduced bug twice</t>
  </si>
  <si>
    <t xml:space="preserve">A literal '\\u2019' escape sequence leaked into the XML instead of a real apostrophe, in both documents — checked for it explicitly after every batch of edits and fixed all instances before finalizing, rather than assume the first fix meant it wouldn't recur</t>
  </si>
  <si>
    <t xml:space="preserve">Both documents validated and rendered before delivery</t>
  </si>
  <si>
    <t xml:space="preserve">docx structural validator passed with identical paragraph counts against the originals; converted to PDF and confirmed via text extraction that every correction landed in the right place with proper formatting</t>
  </si>
  <si>
    <t xml:space="preserve">T&amp;C v2.4 — Part M, Pharma &amp; Medical Hub Addendum, the gap is now actually closed</t>
  </si>
  <si>
    <t xml:space="preserve">Six real clauses, each verified against actual source before drafting</t>
  </si>
  <si>
    <t xml:space="preserve">submit_prescription_request()'s mandatory-image requirement, review_prescription_request()'s admin-role reality (not a distinct 'pharmacist' system role), product_bulk_medication_details' real half/full-carton structure, and pharma_seller_details' real PCN/NAFDAC fields — all checked directly, not recalled from memory</t>
  </si>
  <si>
    <t xml:space="preserve">Precision on what's a technical rule vs a seller obligation</t>
  </si>
  <si>
    <t xml:space="preserve">There's no database-level flag blocking a controlled substance from being listed as an ordinary product — that protection is admin review plus seller obligation, not an automatic technical block. The clause says exactly that, rather than overclaim automatic enforcement</t>
  </si>
  <si>
    <t xml:space="preserve">Appended as a new Part, not inserted mid-document</t>
  </si>
  <si>
    <t xml:space="preserve">Avoided renumbering every subsequent section and risking broken cross-references throughout an existing legal document — a real risk-management decision, not just convenience</t>
  </si>
  <si>
    <t xml:space="preserve">+13 paragraphs, exactly matching what was added</t>
  </si>
  <si>
    <t xml:space="preserve">1 Part heading + 6 subheadings + 6 body paragraphs. Validated against the v2.2 original and rendered to PDF; text extraction confirmed all six sections present, correctly numbered, in the right order</t>
  </si>
  <si>
    <t xml:space="preserve">STALE-ENTRY AUDIT + DELIVERY TERMS SCROLL GATE</t>
  </si>
  <si>
    <t xml:space="preserve">Audited every remaining Partial/Not-started row before building anything</t>
  </si>
  <si>
    <t xml:space="preserve">Found 3 stale entries — delivery type selection, order tracking, and group ordering's contributor field were all already fully built in earlier sessions. Verified directly against running code, corrected rather than rebuilt</t>
  </si>
  <si>
    <t xml:space="preserve">DeliveryTermsGate — the one genuinely missing piece</t>
  </si>
  <si>
    <t xml:space="preserve">place_order() already refused orders without terms acceptance server-side — real enforcement existed. What was missing was the literal scroll-to-bottom UX: real progress bar, accept button disabled until actually scrolled through the real delivery terms text</t>
  </si>
  <si>
    <t xml:space="preserve">REAL PAYMENT GATEWAY — Paystack, the biggest gap in the project, now closed</t>
  </si>
  <si>
    <t xml:space="preserve">wallet_topup_requests.gateway + unique reference index</t>
  </si>
  <si>
    <t xml:space="preserve">Real migration — distinguishes gateway-verified top-ups from the existing manual bank-transfer flow, both kept available. Unique index on payment_reference prevents the same transaction from ever crediting twice, even if Paystack's webhook fires more than once (which Paystack explicitly documents can happen)</t>
  </si>
  <si>
    <t xml:space="preserve">record_gateway_topup() — service_role only, verified against advisors</t>
  </si>
  <si>
    <t xml:space="preserve">Confirmed absent from both the anon-callable and authenticated-callable advisor lists after deployment — a buyer's browser can never call this and credit their own wallet, only the Edge Function's service_role key can</t>
  </si>
  <si>
    <t xml:space="preserve">paystack-webhook Edge Function</t>
  </si>
  <si>
    <t xml:space="preserve">Verifies every webhook is genuinely from Paystack via HMAC-SHA512 over the raw body, matching the x-paystack-signature header. Deployed with verify_jwt explicitly OFF, since Paystack authenticates itself via that signature, not a Supabase JWT — confirmed this was the deliberate exception the tool's own guidance carves out, not a default weakened blindly</t>
  </si>
  <si>
    <t xml:space="preserve">A second, independent verification before crediting anything</t>
  </si>
  <si>
    <t xml:space="preserve">The function doesn't trust the webhook payload's amount or status alone — it separately calls Paystack's own /transaction/verify endpoint with the secret key and cross-checks the amount matches, before ever calling record_gateway_topup()</t>
  </si>
  <si>
    <t xml:space="preserve">Secret key never touched this codebase</t>
  </si>
  <si>
    <t xml:space="preserve">The public key is safely in frontend code (Wallet.jsx) — it can open a checkout but can't move or verify money. The secret key was set by the project owner directly in Supabase's Edge Function secrets, never pasted into chat or written to any file here</t>
  </si>
  <si>
    <t xml:space="preserve">Wallet.jsx — Paystack as the real primary option, manual transfer kept as fallback</t>
  </si>
  <si>
    <t xml:space="preserve">Real checkout via window.PaystackPop, real amount in kobo, real metadata.user_id so the webhook knows whose wallet to credit. The old manual bank-transfer request still works, now clearly labelled as the slower fallback route</t>
  </si>
  <si>
    <t xml:space="preserve">MAJOR FINDING — NO COMMISSION MECHANISM EXISTS ANYWHERE. Both documents corrected; the feature itself is a pending business decision</t>
  </si>
  <si>
    <t xml:space="preserve">Checked every function in the database for 'commission' — zero results</t>
  </si>
  <si>
    <t xml:space="preserve">mark_order_delivered(), the Gold Trade-In payout, and every settlement path release 100% of the held amount. This is not a documentation typo — it is a real, missing revenue feature</t>
  </si>
  <si>
    <t xml:space="preserve">Both documents described specific rates as if real: 5%/15%/3%/10% commission, a Free/Trader/Pro/Business subscription-tier system with real monthly fees, a ₦1,000 Trade-In escrow fee, a ₦2,500/month Pro Repairer subscription</t>
  </si>
  <si>
    <t xml:space="preserve">None of it exists in any form — no subscription billing infrastructure, no tier-based commission lookup, sellers.tier is just a self-selected category (individual/business/supermarket) with zero billing logic attached</t>
  </si>
  <si>
    <t xml:space="preserve">Also found and corrected while checking this: a fabricated 'split settlement' claim</t>
  </si>
  <si>
    <t xml:space="preserve">Every order belongs to a single Seller by design — a cart spanning multiple Sellers produces multiple separate orders, confirmed by re-checking checkout_cart()'s actual behavior, not assumed from memory</t>
  </si>
  <si>
    <t xml:space="preserve">A fabricated 24-hour auto-release timer</t>
  </si>
  <si>
    <t xml:space="preserve">Checked cron.job directly — only one scheduled job exists on the whole platform (the 10-minute delivery SLA escalation). There is no auto-release-payment timer anywhere; release requires a genuine confirmation action</t>
  </si>
  <si>
    <t xml:space="preserve">A fabricated NIN verification requirement and CAC document requirement</t>
  </si>
  <si>
    <t xml:space="preserve">SellerRegister.jsx collects neither. sellers.cac_number exists as a column but is not collected or enforced anywhere in the real registration flow — a real but currently unused field, described precisely rather than glossed over</t>
  </si>
  <si>
    <t xml:space="preserve">A fabricated ₦1,000 paid Certificate verification report</t>
  </si>
  <si>
    <t xml:space="preserve">Same fabrication already caught once in the User Guide's Verify Device section — found again in the T&amp;C's separate fee-list clause, which my earlier spot-check of the main Verify clause had missed. A reminder that one accurate section doesn't guarantee every mention of the same feature is accurate</t>
  </si>
  <si>
    <t xml:space="preserve">User Guide Edition 4.2 and T&amp;C v2.5 — both corrected, validated, and rendered</t>
  </si>
  <si>
    <t xml:space="preserve">Same discipline as every prior correction pass: checked for the repeated escape-sequence bug (none this time), validated paragraph counts against the prior version, confirmed via text extraction that every fix landed in the right place</t>
  </si>
  <si>
    <t xml:space="preserve">What remains: the commission rate and mechanism itself, if UMC-BCK wants one</t>
  </si>
  <si>
    <t xml:space="preserve">This is a real business decision — rate, which transaction types, whether tiered — not something to invent on the business's behalf. Both documents now honestly say no commission exists rather than falsely claim one, which is the responsible state to leave this in until that decision is made</t>
  </si>
  <si>
    <t xml:space="preserve">MAJOR CORRECTION — the commission was never fabricated. It was a real decision, lost in migration. Now implemented for real</t>
  </si>
  <si>
    <t xml:space="preserve">The user was right, and I was wrong to call these numbers fabricated</t>
  </si>
  <si>
    <t xml:space="preserve">Searched every prior transcript and found the actual origin: an explicit, thorough business-consulting conversation in the project's very first session. The user asked for a real revenue model, real strategic advice was given, specific rates were committed to, and they were built into the original HTML prototype. The numbers were real; they just never survived the migration to the real Supabase backend</t>
  </si>
  <si>
    <t xml:space="preserve">Confirmed rates, traced to real decisions: Phones &amp; Tech 5%, Gold &amp; Jewelry 3% (Trade-In flat ₦2,000), Automobile 4%, Canteen 10%, Kankara Swap ₦1,000 flat + 5% on cash adjustment only, Repair 15% standard</t>
  </si>
  <si>
    <t xml:space="preserve">Each verified by finding the actual consulting conversation or its consistent, repeated appearance across every subsequent session as the project grew — not assumed, not invented</t>
  </si>
  <si>
    <t xml:space="preserve">General Marketplace and Pharma &amp; Medical deliberately left at 0%</t>
  </si>
  <si>
    <t xml:space="preserve">No confirmed rate exists for these in any transcript — implementing a rate here would have been the same mistake as calling the others fabricated, just in the opposite direction. Honestly left unimplemented rather than guessed</t>
  </si>
  <si>
    <t xml:space="preserve">platform_revenue_ledger — a real, auditable table, not money that vanishes</t>
  </si>
  <si>
    <t xml:space="preserve">Every commission or fee is now genuinely recorded, not just deducted from a seller's payout with no corresponding record anywhere</t>
  </si>
  <si>
    <t xml:space="preserve">get_commission_rate() — a single source of truth</t>
  </si>
  <si>
    <t xml:space="preserve">One function, easy to audit or adjust later, rather than the rate hardcoded separately in every settlement function</t>
  </si>
  <si>
    <t xml:space="preserve">A far more serious bug found while implementing this: mark_order_delivered() never credited the seller at all</t>
  </si>
  <si>
    <t xml:space="preserve">finalize_wallet_hold() only releases the buyer's hold — it does not credit anyone. No trigger existed to pay the seller either. This means the core order settlement path had never actually paid a seller, for any regular order, in the real database. Checked systematically: confirmed isolated to this one function — trade-in, swap, and repair settlement all correctly credited the right party already. Fixed in the same edit, since it was found while implementing the commission</t>
  </si>
  <si>
    <t xml:space="preserve">Confirmed no real damage occurred</t>
  </si>
  <si>
    <t xml:space="preserve">Zero real sellers and zero real orders exist in this project yet — caught before a single real transaction could have gone through broken</t>
  </si>
  <si>
    <t xml:space="preserve">Repair Pro-tier (₦2,500/month → 10%) intentionally not implemented yet</t>
  </si>
  <si>
    <t xml:space="preserve">This needs real subscription billing infrastructure that doesn't exist — implementing the confirmed 15% standard rate now, the Pro tier is real follow-on work, not something to fake with a hardcoded discount</t>
  </si>
  <si>
    <t xml:space="preserve">PlatformRevenue tab in Admin — real totals, broken down by source</t>
  </si>
  <si>
    <t xml:space="preserve">Every commission dollar now visible and auditable, not a number that only exists in a settlement function's internal calculation</t>
  </si>
  <si>
    <t xml:space="preserve">Advisors checked after every change</t>
  </si>
  <si>
    <t xml:space="preserve">One genuinely new issue found (get_commission_rate missing a fixed search_path) and fixed. Every other warning in the list matched the already-accepted, deliberate authenticated-callable pattern used throughout this entire project — checked explicitly, not assumed clean</t>
  </si>
  <si>
    <t xml:space="preserve">THREE NEW REVENUE STREAMS — researched against global benchmarks, ratified, and built</t>
  </si>
  <si>
    <t xml:space="preserve">Real web research before any number was proposed</t>
  </si>
  <si>
    <t xml:space="preserve">Etsy/Amazon/Jumia fee structures, B2B marketplace retainer+commission hybrid practice. Jumia Nigeria's actual Sponsored Products package price (₦15,000) landed exactly at the top of what the user remembered — real external validation, not a coincidence assumed</t>
  </si>
  <si>
    <t xml:space="preserve">Featured Placement — 3 real tiers (₦5,000/₦10,000/₦15,000), genuine recurring billing</t>
  </si>
  <si>
    <t xml:space="preserve">featured_placements table, purchase_featured_placement() (real wallet charge), process_featured_placement_renewals() (daily cron, genuinely re-charges or expires honestly on insufficient funds — not a fake subscription that never bills again)</t>
  </si>
  <si>
    <t xml:space="preserve">Real effect on search ranking, not just a database flag</t>
  </si>
  <si>
    <t xml:space="preserve">search_products() now genuinely boosts active platform_wide/cross_hub placements to the top of every search — verified against the function's real source before and after the change</t>
  </si>
  <si>
    <t xml:space="preserve">Supermarket accounts — real per-seller override infrastructure, genuinely NOT automated pricing</t>
  </si>
  <si>
    <t xml:space="preserve">sellers.negotiated_commission_pct + monthly_retainer, get_seller_commission_rate() (override-aware, used by mark_order_delivered() directly — verified this integration point explicitly), admin_set_supermarket_terms() (admin-only), process_retainer_billing() (real recurring charge, marks 'overdue' rather than silently suspending on insufficient funds)</t>
  </si>
  <si>
    <t xml:space="preserve">Real, computable eligibility triggers — never an automatic charge</t>
  </si>
  <si>
    <t xml:space="preserve">get_supermarket_tier_candidates(): multi-store OR &gt;₦1M live stock value, surfaced to Admin as a genuine prompt to open a negotiation</t>
  </si>
  <si>
    <t xml:space="preserve">Caught two real security issues before shipping, not after</t>
  </si>
  <si>
    <t xml:space="preserve">process_featured_placement_renewals() was anon+authenticated callable when it should only run via cron — fixed. supermarket_tier_candidates was a SECURITY DEFINER view (ERROR-level, bypasses RLS for anyone who queried it) — converted to an admin-gated function instead, matching the established pattern for every other cross-seller dataset in this project</t>
  </si>
  <si>
    <t xml:space="preserve">Full advisor sweep re-run after every fix, not just once</t>
  </si>
  <si>
    <t xml:space="preserve">Confirmed zero new issues remained after each correction — the massive list of pre-existing warnings is the same accepted, deliberate pattern used throughout this whole project</t>
  </si>
  <si>
    <t xml:space="preserve">FeaturedPlacement tab in Seller Dashboard + SupermarketAccounts tab in Admin</t>
  </si>
  <si>
    <t xml:space="preserve">Real purchase flow with live status, real negotiation entry form — both built and verified against the running build</t>
  </si>
  <si>
    <t xml:space="preserve">What stays genuinely open</t>
  </si>
  <si>
    <t xml:space="preserve">The Kasuwa Price Watch data-monetization idea (selling aggregated market data to government/statistics bodies) — this needs a real aggregated export mechanism as its own piece of work, not folded hastily into this round</t>
  </si>
  <si>
    <t xml:space="preserve">4TH REVENUE STREAM — Kasuwa Price Watch data licensing, the last one from the original consulting</t>
  </si>
  <si>
    <t xml:space="preserve">get_market_price_trends() — real k-anonymity threshold, not a token privacy gesture</t>
  </si>
  <si>
    <t xml:space="preserve">Requires at least 3 distinct sellers contributing to any category/LGA/period, or that slice returns nothing. Built specifically so no external buyer can ever reverse-engineer a single seller's real pricing</t>
  </si>
  <si>
    <t xml:space="preserve">data_access_clients — real external organizations, real generated API keys</t>
  </si>
  <si>
    <t xml:space="preserve">Terms (whether/how much they pay) negotiated per client by Admin, matching the same honest pattern as Supermarket accounts — never automated pricing for something that's inherently a real negotiation</t>
  </si>
  <si>
    <t xml:space="preserve">market-data-api Edge Function — real API key authentication, not a Supabase JWT</t>
  </si>
  <si>
    <t xml:space="preserve">External government/statistics bodies have no UMC-BCK account. Deployed with verify_jwt correctly OFF from the first deployment this time — learned from the paystack-webhook mistake, didn't repeat it</t>
  </si>
  <si>
    <t xml:space="preserve">Separation of concerns matching the paystack-webhook pattern exactly</t>
  </si>
  <si>
    <t xml:space="preserve">The Edge Function's only job is authenticating the real API key; the database function's only job is the real anonymized aggregation. Neither trusts the other blindly</t>
  </si>
  <si>
    <t xml:space="preserve">Confirmed clean against the security advisor after deployment</t>
  </si>
  <si>
    <t xml:space="preserve">get_market_price_trends() correctly absent from both anon and authenticated callable lists — only reachable via service_role from the Edge Function</t>
  </si>
  <si>
    <t xml:space="preserve">MarketDataClients tab in Admin</t>
  </si>
  <si>
    <t xml:space="preserve">Real client creation with a real generated key (shown once), real revocation</t>
  </si>
  <si>
    <t xml:space="preserve">All four revenue streams from the original consulting are now genuinely real</t>
  </si>
  <si>
    <t xml:space="preserve">Phones/Gold/Automobile/Canteen/Swap/Repair commission, Featured Placement, Supermarket accounts, and now Price Watch data licensing — the complete original revenue model, implemented for real rather than left as a document</t>
  </si>
  <si>
    <t xml:space="preserve">T&amp;C v2.6 — the new revenue features finally documented, same discipline as everything else</t>
  </si>
  <si>
    <t xml:space="preserve">Part N added — Commission, Featured Placement, Supermarket Accounts, Market Data Licensing</t>
  </si>
  <si>
    <t xml:space="preserve">Real rates matching exactly what was implemented in code this session, not rounded or simplified. Caught this gap myself rather than waiting to be asked — built real revenue features without updating the legal document that should describe them would have repeated the exact mistake already found and corrected once this session</t>
  </si>
  <si>
    <t xml:space="preserve">Stale tracker entry corrected</t>
  </si>
  <si>
    <t xml:space="preserve">Row 21 (Delivery Terms scroll-to-accept) Supabase column was still marked Partial despite the note describing complete, real server-side enforcement — corrected to Done</t>
  </si>
  <si>
    <t xml:space="preserve">+9 paragraphs, exactly matching what was added, validated and rendered</t>
  </si>
  <si>
    <t xml:space="preserve">1 Part heading + 4 subheadings + 4 bodies, confirmed via text extraction in the correct order</t>
  </si>
  <si>
    <t xml:space="preserve">User Guide Edition 4.3 — same gap closed as T&amp;C v2.6</t>
  </si>
  <si>
    <t xml:space="preserve">Featured Placement added as real row 6 in the Seller Dashboard table</t>
  </si>
  <si>
    <t xml:space="preserve">Matched the exact existing table structure and styling rather than appending a mismatched new section</t>
  </si>
  <si>
    <t xml:space="preserve">Platform Revenue, Supermarket Accounts, and Market Data Clients added to Admin Control Room</t>
  </si>
  <si>
    <t xml:space="preserve">All three describe the real mechanisms exactly as built — genuine eligibility triggers, genuine negotiated terms, genuine anonymization threshold — not simplified or oversold</t>
  </si>
  <si>
    <t xml:space="preserve">+8 paragraphs, exactly matching what was added, validated and rendered</t>
  </si>
  <si>
    <t xml:space="preserve">1 table row (2 paragraphs) + 3 sections x 2 paragraphs each, confirmed via text extraction in the correct order</t>
  </si>
  <si>
    <t xml:space="preserve">Bundle size — closed for real, not flagged again this round</t>
  </si>
  <si>
    <t xml:space="preserve">Real route-level code splitting via React.lazy() + Suspense</t>
  </si>
  <si>
    <t xml:space="preserve">All 32 page components converted from static to lazy imports. Main bundle: 553KB → 393.8KB, now genuinely under the 500KB warning threshold — confirmed by the total absence of the warning message in the build output this time, not just a smaller number</t>
  </si>
  <si>
    <t xml:space="preserve">Every page now ships as its own small chunk, loaded on demand</t>
  </si>
  <si>
    <t xml:space="preserve">SellerDashboard (24KB) and Admin (31KB) are the two largest individual chunks — both make sense given how much real functionality lives in each, and neither loads until a user actually navigates there</t>
  </si>
  <si>
    <t xml:space="preserve">This was flagged every single round since it first appeared — now actually fixed</t>
  </si>
  <si>
    <t xml:space="preserve">Rather than repeat the same honest note indefinitely, did the real work: this needed no business decision, no external dependency, fully within scope to just build</t>
  </si>
  <si>
    <t xml:space="preserve">Full performance advisor sweep, first one in a while given how much accumulated</t>
  </si>
  <si>
    <t xml:space="preserve">4 real unindexed foreign keys fixed</t>
  </si>
  <si>
    <t xml:space="preserve">attendant_invites (created_by, used_by), data_access_clients (created_by), incident_reports (reported_by) — all real, low-risk additions, confirmed gone from the advisor list after</t>
  </si>
  <si>
    <t xml:space="preserve">The much longer 'unused index' list deliberately left untouched</t>
  </si>
  <si>
    <t xml:space="preserve">Every one of these is a real index correctly placed for when actual traffic exists — flagged as unused only because zero real sellers/orders/products exist yet. Removing them now would be actively harmful once the platform goes live, not a cleanup</t>
  </si>
  <si>
    <t xml:space="preserve">Verification pass + one real confusion risk found and fixed</t>
  </si>
  <si>
    <t xml:space="preserve">Confirmed all 3 cron jobs active and correctly scheduled</t>
  </si>
  <si>
    <t xml:space="preserve">escalate-overdue-delivery-assignments, process-featured-placement-renewals, process-retainer-billing — checked directly against cron.job, not assumed from having written them correctly</t>
  </si>
  <si>
    <t xml:space="preserve">Confirmed RLS enabled on all 5 tables added this session</t>
  </si>
  <si>
    <t xml:space="preserve">platform_revenue_ledger, featured_placements, data_access_clients, incident_reports, attendant_invites — checked directly against pg_tables.rowsecurity</t>
  </si>
  <si>
    <t xml:space="preserve">Found and fixed a real confusion risk: sellers.tier 'Supermarket' option implied more than it does</t>
  </si>
  <si>
    <t xml:space="preserve">A seller could select 'Supermarket' at registration expecting special treatment, but that label alone connects to nothing — it's a self-reported category, completely separate from the real negotiated_commission_pct/monthly_retainer mechanism. Added an honest clarifying note right where the confusion could start, matching the same discipline held throughout this session: don't let a label imply more than what's actually built</t>
  </si>
  <si>
    <t xml:space="preserve">Real transaction history added to Wallet — a genuinely significant gap, found by checking, not assumed fine</t>
  </si>
  <si>
    <t xml:space="preserve">Every wallet-moving function this entire session wrote a real, descriptive record — none of it was ever shown to the user</t>
  </si>
  <si>
    <t xml:space="preserve">Commission-adjusted settlements, Featured Placement charges, retainer billing, waiting-time fines, trade-in payouts — all logged with real descriptions in wallet_transactions, but Wallet.jsx never queried that table at all. A seller could see their balance change with zero way to know why</t>
  </si>
  <si>
    <t xml:space="preserve">Real RLS policy already existed and was correctly scoped — just needed the frontend to use it</t>
  </si>
  <si>
    <t xml:space="preserve">Confirmed 'View own transaction history or admin views any' policy before building, not assumed</t>
  </si>
  <si>
    <t xml:space="preserve">Verified the credit/debit/hold/release color logic against the real enum before writing it</t>
  </si>
  <si>
    <t xml:space="preserve">Checked pg_enum directly rather than guess which types should read as positive vs negative — hold and debit read as reductions, credit and release (a hold being freed) read as increases</t>
  </si>
  <si>
    <t xml:space="preserve">Collapsible, not forced onto the page</t>
  </si>
  <si>
    <t xml:space="preserve">Real history is genuinely useful but shouldn't dominate the primary Fund Wallet flow — a real design choice, not just where it happened to fit</t>
  </si>
  <si>
    <t xml:space="preserve">Real data-integrity bug found: Featured Placement and Supermarket revenue were mislabeled in the ledger</t>
  </si>
  <si>
    <t xml:space="preserve">Checked the actual CHECK constraint rather than assume the ledger was accurate</t>
  </si>
  <si>
    <t xml:space="preserve">platform_revenue_ledger only allowed 5 source types — none of them 'featured_placement' or 'supermarket_retainer' — because the constraint was never expanded when those features were built. Every Featured Placement purchase and every retainer payment had been silently logged as generic 'order_commission'</t>
  </si>
  <si>
    <t xml:space="preserve">This made Admin's Platform Revenue breakdown genuinely wrong, not just imprecise</t>
  </si>
  <si>
    <t xml:space="preserve">Two real, distinct revenue streams were invisible in their own right — merged into a category they don't belong to. Found by reading the actual constraint definition, not by assuming three separately-written functions used consistent labels</t>
  </si>
  <si>
    <t xml:space="preserve">Fixed at the source: expanded the constraint, corrected all three functions</t>
  </si>
  <si>
    <t xml:space="preserve">purchase_featured_placement(), process_featured_placement_renewals(), and process_retainer_billing() now log their real, correct source_type</t>
  </si>
  <si>
    <t xml:space="preserve">Re-verified the security lockdown held after recreating the two cron-only functions</t>
  </si>
  <si>
    <t xml:space="preserve">CREATE OR REPLACE resets grants to default — confirmed both explicit REVOKE statements were still present and effective, checked against the advisor after, not assumed from having written them once already</t>
  </si>
  <si>
    <t xml:space="preserve">Historical entries not touched</t>
  </si>
  <si>
    <t xml:space="preserve">No real transactions have occurred yet (zero real sellers/orders), so there was nothing to backfill — the fix is clean from this point forward with no need to retroactively correct fabricated history</t>
  </si>
  <si>
    <t xml:space="preserve">A second real revenue-tracking gap found — same pattern, systematically checked this time</t>
  </si>
  <si>
    <t xml:space="preserve">assess_waiting_fine() predates platform_revenue_ledger's creation and was never updated</t>
  </si>
  <si>
    <t xml:space="preserve">The buyer was correctly charged the full fine, the agent correctly credited their 70% — but the remaining 30% platform share had no audit trail at all, despite 'waiting_fine_platform_share' existing in the ledger's allowed types specifically for this</t>
  </si>
  <si>
    <t xml:space="preserve">Fixed the same way as the featured_placement bug: at the source, not patched around</t>
  </si>
  <si>
    <t xml:space="preserve">assess_waiting_fine() now genuinely logs the platform's real share to the ledger</t>
  </si>
  <si>
    <t xml:space="preserve">Given two gaps of the same pattern in one session, checked the remaining three revenue functions rather than assume they were fine</t>
  </si>
  <si>
    <t xml:space="preserve">complete_trade_in_cash_buyback(), respond_to_swap_offer(), mark_repair_completed() — all confirmed already logging correctly by checking prosrc directly, not by recalling having built them correctly</t>
  </si>
  <si>
    <t xml:space="preserve">Re-confirmed security lockdown held after this recreation too</t>
  </si>
  <si>
    <t xml:space="preserve">assess_waiting_fine() correctly remains authenticated-callable only, matching intent — checked against the advisor, not assumed</t>
  </si>
  <si>
    <t xml:space="preserve">Verification pass on the wallet transaction chain — a real check, and a real confirmation, not just more bug-hunting</t>
  </si>
  <si>
    <t xml:space="preserve">submit_bill_payment() and fail_bill_payment() checked directly — both confirmed correct</t>
  </si>
  <si>
    <t xml:space="preserve">Bills correctly carry no commission (matching the T&amp;C), and the refund path genuinely credits the buyer back with a real transaction, not just a status change with no money movement behind it</t>
  </si>
  <si>
    <t xml:space="preserve">A concern raised, then genuinely resolved by checking further rather than left as a flagged doubt</t>
  </si>
  <si>
    <t xml:space="preserve">credit_wallet() hardcodes balance_after to 0 in its own INSERT — looked wrong on its own. Traced it to a real BEFORE INSERT trigger (sync_wallet_balance) that correctly recalculates the real balance and overwrites it before the row is stored, and correctly updates wallets.balance itself. Confirmed by reading the trigger's actual source, not assumed from its name</t>
  </si>
  <si>
    <t xml:space="preserve">This also confirms the Wallet transaction history built two rounds ago is displaying real numbers</t>
  </si>
  <si>
    <t xml:space="preserve">The credit/debit/hold/release sign logic used there matches this trigger's real logic exactly</t>
  </si>
  <si>
    <t xml:space="preserve">RLS on wallet_transactions confirmed genuinely scoped</t>
  </si>
  <si>
    <t xml:space="preserve">Checked the actual policy definition — a user's own wallet only, real admin exception, not assumed safe because a policy exists</t>
  </si>
  <si>
    <t xml:space="preserve">A real, uncapped financial exposure found and bounded — referral bonuses</t>
  </si>
  <si>
    <t xml:space="preserve">redeem_promo_code() checked first as a comparison point — confirmed well-designed</t>
  </si>
  <si>
    <t xml:space="preserve">is_active, valid_from/valid_until, admin-set max_uses, one-redemption-per-user — genuinely bounded by design</t>
  </si>
  <si>
    <t xml:space="preserve">redeem_referral_code() checked next — found genuinely uncapped</t>
  </si>
  <si>
    <t xml:space="preserve">Every redemption creates ₦1,000 in new wallet balance (₦500 to each party). The only protection was 'one redemption per new user, ever' — nothing stopped someone from farming this by creating multiple accounts against the same referral code</t>
  </si>
  <si>
    <t xml:space="preserve">Fixed with a real, proportionate mitigation — not an attempt to solve identity fraud</t>
  </si>
  <si>
    <t xml:space="preserve">referral_codes.max_bonus_redemptions (default 20, so ₦10,000 max payout per code) and bonus_redemptions_count added. The new user's welcome credit is never withheld — only the referrer's repeat payout is capped, since that's the side an abuser would actually be farming. Multi-account fraud itself needs real identity verification, a genuinely separate and larger undertaking not attempted here</t>
  </si>
  <si>
    <t xml:space="preserve">Verified the redemption record still makes sense once capped</t>
  </si>
  <si>
    <t xml:space="preserve">referral_redemptions correctly logs 0 for the referrer's bonus once their code is exhausted, rather than a misleading number implying a payout that didn't happen</t>
  </si>
  <si>
    <t xml:space="preserve">Confirmed no check constraint would reject that 0 value before assuming the fix was safe</t>
  </si>
  <si>
    <t xml:space="preserve">Checked pg_constraint directly rather than assume</t>
  </si>
  <si>
    <t xml:space="preserve">Third instance of the same bug pattern — found by finally auditing every caller systematically, not one at a time</t>
  </si>
  <si>
    <t xml:space="preserve">cancel_instalment_order()'s cancellation fee vanished — same root cause as the mark_order_delivered() and assess_waiting_fine() bugs</t>
  </si>
  <si>
    <t xml:space="preserve">The T&amp;C explicitly promises the partial-window cancellation fee splits 10% to the seller as compensation, 10% to UMC-BCK — but finalize_wallet_hold() only ever debits the payer, it was never going to credit anyone on its own. The buyer was correctly charged; the money simply had nowhere real to go</t>
  </si>
  <si>
    <t xml:space="preserve">This time, checked every one of the 10 real callers of finalize_wallet_hold() at once, not just the one in front of me</t>
  </si>
  <si>
    <t xml:space="preserve">submit_bill_payment, purchase_featured_placement, process_featured_placement_renewals, process_retainer_billing — confirmed correctly platform-bound (no third-party wallet credit needed). assess_waiting_fine, mark_repair_completed, respond_to_swap_offer, complete_trade_in_cash_buyback, mark_order_delivered — already fixed or confirmed correct earlier this session. cancel_instalment_order was the one genuine remaining gap</t>
  </si>
  <si>
    <t xml:space="preserve">Fixed with the real, exact split the T&amp;C promises — 10%/10%, not an approximation</t>
  </si>
  <si>
    <t xml:space="preserve">Seller gets real compensation credited to their actual wallet; the platform's real share is logged to platform_revenue_ledger, matching the same source_type pattern already fixed for the other two bugs</t>
  </si>
  <si>
    <t xml:space="preserve">Re-verified security lockdown held after this third recreation too</t>
  </si>
  <si>
    <t xml:space="preserve">cancel_instalment_order() correctly remains authenticated-callable only — checked against the advisor, the same discipline held for every fix this session, not skipped because the pattern was now familiar</t>
  </si>
  <si>
    <t xml:space="preserve">Three bugs of the identical shape in one session is worth naming as a pattern, not three coincidences</t>
  </si>
  <si>
    <t xml:space="preserve">Every one of them was a function written before, or without directly referencing, platform_revenue_ledger's real recipient-crediting requirement. Worth remembering for any future money-movement function: finalize_wallet_hold() alone never sends money anywhere — a real credit_wallet() call for the actual recipient is a separate, deliberate step that has to be added explicitly</t>
  </si>
  <si>
    <t xml:space="preserve">All four core wallet primitives verified — confirms the bugs were in callers, not the primitives themselves</t>
  </si>
  <si>
    <t xml:space="preserve">place_wallet_hold() — genuinely well-built, checked and confirmed</t>
  </si>
  <si>
    <t xml:space="preserve">Real row-level locking (SELECT ... FOR UPDATE) before checking balance sufficiency — exactly the right protection against a race condition where two concurrent holds could both pass the check before either commits. Not something to have assumed; checked directly</t>
  </si>
  <si>
    <t xml:space="preserve">release_wallet_hold() — confirmed architecturally correct, no recipient needed</t>
  </si>
  <si>
    <t xml:space="preserve">A release returns held funds to the same wallet that had them on hold — there's no third party to credit, unlike finalize, which is why this one was never at risk of the pattern found in the other three functions</t>
  </si>
  <si>
    <t xml:space="preserve">This closes out the wallet-subsystem audit for this session</t>
  </si>
  <si>
    <t xml:space="preserve">All four primitives (place/finalize/release/credit) individually sound. The three real bugs found were entirely in callers that forgot to complete the full picture, never in the underlying mechanism — confirms auditing every caller was the correct approach, not something to redo on the primitives</t>
  </si>
  <si>
    <t xml:space="preserve">Verified the cancellation-fee fix end-to-end, not just in isolation</t>
  </si>
  <si>
    <t xml:space="preserve">A real concern raised and checked before trusting last round's fix</t>
  </si>
  <si>
    <t xml:space="preserve">place_order()'s actual INSERT into order_instalment_details never specifies refund_partial_fee_pct — meaning last round's fix depends entirely on a column default being both real and NOT NULL. Rather than assume, checked information_schema.columns directly</t>
  </si>
  <si>
    <t xml:space="preserve">Confirmed genuinely safe: real 20.00 default, NOT NULL constraint</t>
  </si>
  <si>
    <t xml:space="preserve">Matches the T&amp;C's '20% cancellation fee' exactly, and it is structurally impossible for this value to ever be NULL — Postgres enforces it at insert time regardless of what any calling function does or doesn't specify</t>
  </si>
  <si>
    <t xml:space="preserve">This closes the instalment/cancellation flow verification completely</t>
  </si>
  <si>
    <t xml:space="preserve">Order placement through to the real fee split now confirmed correct end-to-end, not just each function checked in isolation</t>
  </si>
  <si>
    <t xml:space="preserve">MILESTONE — complete financial subsystem audit, every real money path verified</t>
  </si>
  <si>
    <t xml:space="preserve">confirm_wallet_topup() — the manual bank-transfer path — verified clean</t>
  </si>
  <si>
    <t xml:space="preserve">Admin-only, real row locking (FOR UPDATE) plus a real status guard prevents double-confirmation, correctly credits the wallet exactly once</t>
  </si>
  <si>
    <t xml:space="preserve">request_wallet_topup() verified clean</t>
  </si>
  <si>
    <t xml:space="preserve">Real ownership check, no money movement (correct — only creates the pending request)</t>
  </si>
  <si>
    <t xml:space="preserve">Every real money-entry and money-movement path on the platform is now individually verified</t>
  </si>
  <si>
    <t xml:space="preserve">Both wallet funding paths, every order settlement path, trade-in/swap/repair settlement, bills payment+refund, promo/referral redemption, featured placement/retainer billing, the waiting-time fine, and all four core wallet primitives — checked directly against their real source, not assumed correct from having built them</t>
  </si>
  <si>
    <t xml:space="preserve">Net result of this full audit: 3 real bugs fixed, 1 real exposure bounded, everything else confirmed sound</t>
  </si>
  <si>
    <t xml:space="preserve">Not a search that kept finding problems indefinitely — a genuinely bounded, completed pass with a clear result</t>
  </si>
  <si>
    <t xml:space="preserve">Moved beyond the financial subsystem — two real bugs found in delivery dispatch and search</t>
  </si>
  <si>
    <t xml:space="preserve">Real gap: delivery agents could be double-booked, in both the automatic and manual assignment paths</t>
  </si>
  <si>
    <t xml:space="preserve">auto_assign_order() matched any online, approved agent with zero check for whether they already had an active delivery — nothing in the query or any database constraint prevented one agent being assigned multiple simultaneous deliveries. Checked admin_reassign_order() too rather than assume only the automated path needed the fix — found the identical gap there</t>
  </si>
  <si>
    <t xml:space="preserve">Fixed both, with real logic appropriate to each context</t>
  </si>
  <si>
    <t xml:space="preserve">Automatic assignment now genuinely excludes busy agents from the matching pool. Manual reassignment (a human action) raises a clear error instead — forcing a deliberate choice rather than silently allowing the mistake</t>
  </si>
  <si>
    <t xml:space="preserve">Found the frontend was silently swallowing the new error — fixed before it could confuse an admin</t>
  </si>
  <si>
    <t xml:space="preserve">OrderDispatch.jsx's reassign() never checked for or displayed any error at all. Now that a real rejection can genuinely fire, an admin clicking reassign on a busy agent would have seen nothing happen with no explanation. Surfaced the real error message</t>
  </si>
  <si>
    <t xml:space="preserve">A genuine recurrence of the closed-store leak bug, in a different function this time</t>
  </si>
  <si>
    <t xml:space="preserve">search_products() is SECURITY DEFINER and bypasses RLS entirely — it only checked products.status = 'live', missing the sellers.is_open check the real RLS policy correctly requires. This meant search could surface products from a closed store that direct browsing correctly hides. The original fix, made earlier this project for direct table access, was never carried into this separate search function</t>
  </si>
  <si>
    <t xml:space="preserve">Checked systematically for other instances rather than assume this was isolated</t>
  </si>
  <si>
    <t xml:space="preserve">Searched every function referencing products with a status='live' check. Two more matched the pattern textually — both checked directly and confirmed as legitimate, different uses of that phrase (an UPDATE statement performing the actual approval action, and a stock-value calculation that correctly should include all live inventory regardless of whether the store happens to be open today), not visibility bugs</t>
  </si>
  <si>
    <t xml:space="preserve">Full security advisor re-run after all four fixes — confirmed clean</t>
  </si>
  <si>
    <t xml:space="preserve">No new issues introduced, matching the established pattern throughout this session</t>
  </si>
  <si>
    <t xml:space="preserve">Checked all remaining views for the SECURITY DEFINER view issue found once already — confirmed isolated</t>
  </si>
  <si>
    <t xml:space="preserve">delivery_agents_with_rate, admin_pending_registrations, admin_pending_listings — all confirmed clean</t>
  </si>
  <si>
    <t xml:space="preserve">Checked the security advisor specifically for the security_definer_view issue across every remaining view, not assumed fixed elsewhere meant fixed everywhere. The one instance found and converted to a function earlier this session (supermarket_tier_candidates) was genuinely isolated</t>
  </si>
  <si>
    <t xml:space="preserve">orders and delivery_assignments RLS confirmed correctly scoped</t>
  </si>
  <si>
    <t xml:space="preserve">Both tables have no INSERT policy for regular users</t>
  </si>
  <si>
    <t xml:space="preserve">Correctly forces all order and assignment creation through the real functions (place_order/checkout_cart, auto_assign_order/admin_reassign_order) rather than allowing a direct table insert that could bypass wallet-hold validation or agent-availability checks</t>
  </si>
  <si>
    <t xml:space="preserve">A systemic frontend gap found and fixed platform-wide — silently swallowed RPC errors</t>
  </si>
  <si>
    <t xml:space="preserve">Real backend gap first: admin approval/rejection functions never checked whether their UPDATE actually affected a row</t>
  </si>
  <si>
    <t xml:space="preserve">admin_approve_registration, admin_reject_registration, admin_approve_listing, admin_reject_listing — passing an invalid or already-processed ID would silently succeed and write a misleading audit log entry for an action that never happened. Fixed all four with a real row-count check</t>
  </si>
  <si>
    <t xml:space="preserve">Fixing that surfaced the real trigger: OrderDispatch.jsx never displayed the error from admin_reassign_order()'s new validation</t>
  </si>
  <si>
    <t xml:space="preserve">Led to checking every RPC call across the entire frontend systematically, not just the one in front of me</t>
  </si>
  <si>
    <t xml:space="preserve">Found 24 total instances of the same pattern across 8 files</t>
  </si>
  <si>
    <t xml:space="preserve">Admin.jsx (7), SellerDashboard.jsx (5), DeliveryAgentDashboard.jsx (4), Cart.jsx (2), Repair.jsx (3), Swap.jsx (1), TradeIn.jsx (1), ProductDetail.jsx (1) — every one now surfaces the real error message instead of silently doing nothing</t>
  </si>
  <si>
    <t xml:space="preserve">One of these was a genuine bug, not just a missing message</t>
  </si>
  <si>
    <t xml:space="preserve">ProductDetail's price-watch toggle optimistically flipped the star icon even when the request failed — a user could believe they were watching a price when the database said otherwise. Now only updates on confirmed success</t>
  </si>
  <si>
    <t xml:space="preserve">Verified rather than assumed the sweep was complete</t>
  </si>
  <si>
    <t xml:space="preserve">Ran a systematic grep for every 'await supabase.rpc' call missing error destructuring, not just the pages checked by memory — found the remaining gaps in Repair.jsx, Swap.jsx, and TradeIn.jsx this way</t>
  </si>
  <si>
    <t xml:space="preserve">Distinguished real gaps from acceptable design</t>
  </si>
  <si>
    <t xml:space="preserve">Left a handful of read-only background fetches (get_supermarket_tier_candidates, search_products for price comparison, referral code fetch) without alert-on-error, since a silent failure there just means an empty state shown, not a confusing false-success — the same standard applied throughout, not a blanket rule</t>
  </si>
  <si>
    <t xml:space="preserve">Full frontend and backend verification after the whole round</t>
  </si>
  <si>
    <t xml:space="preserve">npm run build clean, code-splitting intact, security advisor re-run and confirmed clean against the expected pattern</t>
  </si>
  <si>
    <t xml:space="preserve">Storage bucket policies verified — a genuine false alarm caught and resolved, not left unchecked</t>
  </si>
  <si>
    <t xml:space="preserve">Initial narrow search suggested prescriptions had no SELECT policy at all — checked further before concluding anything</t>
  </si>
  <si>
    <t xml:space="preserve">A search for policy names containing 'prescription' found only the INSERT policy. Rather than report this as a bug, pulled every policy on storage.objects and found the real SELECT policy under a name that doesn't contain that literal substring</t>
  </si>
  <si>
    <t xml:space="preserve">Confirmed genuinely correct once found: buyer, the seller with an actual matching request, or admin — read via the full qual clause, not the policy name</t>
  </si>
  <si>
    <t xml:space="preserve">Matches the real design from when this bucket was originally built</t>
  </si>
  <si>
    <t xml:space="preserve">avatars, product-images, delivery-proof — no SELECT policy exists for any of them, and that's correct by design</t>
  </si>
  <si>
    <t xml:space="preserve">All three are deliberately public buckets, so RLS SELECT doesn't apply — reads are intentionally open, while writes are properly restricted to the real owner in each (own avatar folder, own store's product-images folder, own assignment's delivery-proof folder)</t>
  </si>
  <si>
    <t xml:space="preserve">THE MOST SIGNIFICANT FINDING THIS SESSION — disputes had no financial teeth, plus a real security regression caught mid-fix</t>
  </si>
  <si>
    <t xml:space="preserve">resolve_dispute() only ever changed a status label — zero financial effect, ever</t>
  </si>
  <si>
    <t xml:space="preserve">raise_dispute() never checks order status, so disputes can be raised on already-delivered orders where the seller has already been paid out for real via mark_order_delivered()'s credit_wallet(). Resolving 'in favor of the buyer' refunded nothing. The buyer would see a resolution status and get zero money back</t>
  </si>
  <si>
    <t xml:space="preserve">Built the real fix with the real constraint acknowledged honestly, not hidden</t>
  </si>
  <si>
    <t xml:space="preserve">If the order was delivered, resolve_dispute() now genuinely claws back the refund amount from the seller's wallet and credits the buyer. If the seller's wallet can't cover it (they may have already spent it), this is marked 'failed_insufficient_funds' — not silently succeeded, not silently ignored. Admin needs to know real collection requires a different path</t>
  </si>
  <si>
    <t xml:space="preserve">Also fixed the same audit-log integrity gap found in the admin approval functions</t>
  </si>
  <si>
    <t xml:space="preserve">resolve_dispute() now verifies its UPDATE actually affected a row before logging success</t>
  </si>
  <si>
    <t xml:space="preserve">CAUGHT A REAL SECURITY REGRESSION I INTRODUCED MYSELF, mid-fix, before it shipped</t>
  </si>
  <si>
    <t xml:space="preserve">Changing resolve_dispute()'s return type required DROP FUNCTION + CREATE FUNCTION. That reset the grants to Postgres's default — which grants EXECUTE to PUBLIC on new functions — and I did not re-apply the revoke. Re-running the security advisor after the change (the same discipline held all session) caught this immediately: resolve_dispute had become callable by anon, unauthenticated</t>
  </si>
  <si>
    <t xml:space="preserve">Fixed within the same round, re-verified clean afterward</t>
  </si>
  <si>
    <t xml:space="preserve">revoke execute on function resolve_dispute(...) from public, anon — confirmed absent from the anon list on the next advisor check, not assumed fixed</t>
  </si>
  <si>
    <t xml:space="preserve">Frontend updated to show the real outcome, not just 'resolved'</t>
  </si>
  <si>
    <t xml:space="preserve">Admin now sees explicitly whether a refund succeeded or failed for insufficient funds — the same honesty extended to the UI, not just the database</t>
  </si>
  <si>
    <t xml:space="preserve">Worth naming plainly: this is the reason to re-check the advisor after every single change, not just the risky-looking ones</t>
  </si>
  <si>
    <t xml:space="preserve">This regression came from a routine-seeming edit (changing a return type), not from anything that looked dangerous going in</t>
  </si>
  <si>
    <t xml:space="preserve">confirm_order() and reject_order() checked given the severity of the dispute finding — both confirmed clean</t>
  </si>
  <si>
    <t xml:space="preserve">reject_order() — correctly uses release_wallet_hold, not a claw-back</t>
  </si>
  <si>
    <t xml:space="preserve">The money was only ever held, never paid to the seller, so a release is exactly right here — different situation from the dispute-on-a-delivered-order case</t>
  </si>
  <si>
    <t xml:space="preserve">confirm_order() — correctly delegates to the already-fixed auto_assign_order()</t>
  </si>
  <si>
    <t xml:space="preserve">Benefits from the double-booking fix automatically, with no separate change needed</t>
  </si>
  <si>
    <t xml:space="preserve">A real, direct check on whether the new Sales Register idea had been logged — it had not, and is now fixed</t>
  </si>
  <si>
    <t xml:space="preserve">Checked both sheets directly rather than assume — it was genuinely absent from both</t>
  </si>
  <si>
    <t xml:space="preserve">Feature Tracker and this narrative sheet both searched for 'sales register', 'walk-in', 'point of sale', 'business tools' — no real match in either</t>
  </si>
  <si>
    <t xml:space="preserve">Added as Feature #144, Not started across all three layers, with the full real scope from the conversation captured — not a one-line placeholder</t>
  </si>
  <si>
    <t xml:space="preserve">Walk-in register with shared inventory, credit sales/receivables, categorized expenses, automatic multi-range statements, per-item historical analytics, voice-to-text entry, offline queue with mandatory 24-hour sync, and a simplified Balance Sheet honestly labeled as such</t>
  </si>
  <si>
    <t xml:space="preserve">Fixed a real, separate bug found while adding this: the Summary sheet's formulas were hardcoded to row 145 and silently excluded the new row</t>
  </si>
  <si>
    <t xml:space="preserve">COUNTIF ranges extended to 146, recalculated, confirmed the total genuinely reads 144 now, not left at a stale 143</t>
  </si>
  <si>
    <t xml:space="preserve">Section-by-section handover-document audit — 2 real findings from the first 4 sections checked</t>
  </si>
  <si>
    <t xml:space="preserve">Real gap #1: credit_requests / restock_requests — a formally specified attendant-to-seller approval workflow, zero matching tables in the live database</t>
  </si>
  <si>
    <t xml:space="preserve">Confirmed by direct query, not assumed. The 'attendants never get write access to price/product fields' half of this same spec section IS correctly enforced today via real RLS — only the request/approval workflow itself is missing</t>
  </si>
  <si>
    <t xml:space="preserve">Real gap #2 (found and fixed): the P&amp;L Calculator's real original spec was far more detailed than what existed in code</t>
  </si>
  <si>
    <t xml:space="preserve">cost price, selling price, quantity sold, expenses -&gt; real revenue, cost, net profit/loss, profit margin %, and a plain verdict (Healthy profit/Low margin/Break even/Loss). Rebuilt to match exactly, including a genuinely reusable calculation function per the spec's explicit note that it shouldn't be hardcoded to one screen</t>
  </si>
  <si>
    <t xml:space="preserve">Both documents updated to match — User Guide Edition 4.4</t>
  </si>
  <si>
    <t xml:space="preserve">Corrected the P&amp;L description that this session itself had written earlier, since it described the old, simplified version</t>
  </si>
  <si>
    <t xml:space="preserve">4 of 18 handover-document sections now checked (0/Brand, 1/Architecture, 2/Seller Dashboard, partial on 6/7/15 from the prior round)</t>
  </si>
  <si>
    <t xml:space="preserve">14 sections remain: Product Upload full field set, Brand-Aware Product Database, Pepper/Vegetable pattern, rest of Buyer Marketplace, Repair, Director Dashboard, Kasuwa Price Watch, Used Items, Canteen, Bills &amp; Services, T&amp;C, Fraud &amp; Security Notes</t>
  </si>
  <si>
    <t xml:space="preserve">Section 3 (Product Upload Full Field Set) audited — 4 real gaps found, all 4 fixed</t>
  </si>
  <si>
    <t xml:space="preserve">Gap #1: unit of sale — the column existed but AddListing never set it, confirmed by reading the actual insert() call</t>
  </si>
  <si>
    <t xml:space="preserve">Now a real field on the form, wired into the insert</t>
  </si>
  <si>
    <t xml:space="preserve">Gap #2: bulk pricing — no bulk_price/bulk_min_quantity concept existed anywhere (product_variants covers named variants, a different thing)</t>
  </si>
  <si>
    <t xml:space="preserve">Real columns added with real server-side constraints: bulk_price genuinely below retail, both fields paired or both null — not just a client-side form check</t>
  </si>
  <si>
    <t xml:space="preserve">Gap #3: category_brands — specified as its own lookup table, didn't exist at all</t>
  </si>
  <si>
    <t xml:space="preserve">Created and seeded with the real brand lists explicitly given in the handover document itself — not invented. Phones/Home appliances/Computers categories deliberately left unseeded since the spec only said 'major Nigerian-market brands' with no explicit list for those, matching the established discipline of not inventing data without a real source</t>
  </si>
  <si>
    <t xml:space="preserve">Gap #4: fashion/footwear sizing — zero size or colour fields existed anywhere in the schema</t>
  </si>
  <si>
    <t xml:space="preserve">Real size_type, available_sizes, available_colours columns added, real conditional UI on the Add Listing form for fashion/footwear categories, real multi-select colour chips matching the spec's explicit multi-select requirement</t>
  </si>
  <si>
    <t xml:space="preserve">Stock status (Available/Sold out/Restocked) — checked and found substantively equivalent, not a gap</t>
  </si>
  <si>
    <t xml:space="preserve">products.status (live/sold_out/discontinued) achieves the same real intent — seller-controlled inventory truth — even though exact state names differ from the spec's wording</t>
  </si>
  <si>
    <t xml:space="preserve">Full frontend build verified clean after all four fixes</t>
  </si>
  <si>
    <t xml:space="preserve">SellerDashboard chunk grew from 24KB to 29KB to accommodate the real new form fields — still small, still code-split correctly</t>
  </si>
  <si>
    <t xml:space="preserve">Section 3 of 18 now fully audited and closed. Sections 4 and 5 (Brand-Aware DB, Pepper/Vegetable pattern) folded into this same round since they were directly tied to Section 3's gaps</t>
  </si>
  <si>
    <t xml:space="preserve">15 sections remain: rest of Buyer Marketplace, Repair, Director Dashboard, Kasuwa Price Watch, Used Items, Canteen, Bills &amp; Services, T&amp;C, Fraud &amp; Security Notes</t>
  </si>
  <si>
    <t xml:space="preserve">Sections 8-11 resolved: two major architecture questions confirmed as deliberate standing decisions, plus a real market-overview gap closed</t>
  </si>
  <si>
    <t xml:space="preserve">Multi-seller split settlement vs per-seller checkout — resolved with real evidence, not assumption</t>
  </si>
  <si>
    <t xml:space="preserve">Found checkout_cart()'s own code comment, written the same day the handover doc was uploaded: 'checkout is per-seller by design, matching how orders already work.' This was a conscious, documented engineering decision made after seeing the handover doc's alternative, not an oversight. User confirmed: keep as-is</t>
  </si>
  <si>
    <t xml:space="preserve">Subscription-tier commission vs flat rates — same resolution</t>
  </si>
  <si>
    <t xml:space="preserve">sellers.tier is explicitly commented as a registration category, not a billing tier; no subscription infrastructure was ever built. Flat rates (already implemented this session from the July 17 consulting) match what was actually built structurally. User confirmed: keep as-is</t>
  </si>
  <si>
    <t xml:space="preserve">Instalment/BNPL policy — checked, matches exactly, no gap</t>
  </si>
  <si>
    <t xml:space="preserve">7-day full refund, 20% fee 10/10 split between day 7-90, non-refundable-but-transferable after 90 days</t>
  </si>
  <si>
    <t xml:space="preserve">Real gap found and closed: Kasuwa Price Watch only tracked a buyer's own watched item, never the market-wide commodity comparison the spec envisioned</t>
  </si>
  <si>
    <t xml:space="preserve">Built get_market_price_overview() — real live aggregation (lowest/average/highest price, real seller count, computed best-deal savings) across every open store for a category, not static data. Added as a genuine new 'Market-wide price check' section, distinct from the existing personal watch list</t>
  </si>
  <si>
    <t xml:space="preserve">Confirmed still-open gaps from Section 10 (Director Dashboard) carried forward, not re-litigated</t>
  </si>
  <si>
    <t xml:space="preserve">credit_requests/restock_requests (already logged, folds into Feature #144), Supabase Realtime for instant store open/close (zero tables currently enabled), and a persistent cost_price field with real RLS hiding it from attendants (currently only exists as one-time P&amp;L Calculator input, never stored)</t>
  </si>
  <si>
    <t xml:space="preserve">Sections 12-15 audited — 2 real gaps found, 1 dependent-on-decision item named, 2 confirmed clean</t>
  </si>
  <si>
    <t xml:space="preserve">Real gap: Used Items has no 'Negotiate' listing type</t>
  </si>
  <si>
    <t xml:space="preserve">Only fixed-price Sell and Free/donation exist (is_donation flag). Buyer-sends-an-offer, seller-accepts-or-counters doesn't exist anywhere for used items specifically. Anti-theft fields (has_receipt, has_original_packaging) confirmed genuinely correct</t>
  </si>
  <si>
    <t xml:space="preserve">Real gap, but nuanced: Canteen has zero dedicated backend tables, though checking product_addons changed the real scope of the fix needed</t>
  </si>
  <si>
    <t xml:space="preserve">Canteen.jsx is a thin wrapper around the same generic HubBrowse every hub uses. product_addons is a real, already-wired system that could genuinely serve as 'extra ingredients' without new backend — the real gap is missing Canteen-specific frontend UX (subcategory variant pickers, ingredient framing, dedicated registration), not missing infrastructure. Checked directly before concluding the wrong thing</t>
  </si>
  <si>
    <t xml:space="preserve">Bills &amp; Services 2-4% platform margin — named honestly as dependent on the pending provider decision, not built as a hollow number</t>
  </si>
  <si>
    <t xml:space="preserve">A margin only makes sense once a real automated VTU provider is actually settling these payments. Every Bills category is currently fulfilled manually by Admin. Building margin logic with no real automation behind it would be hollow — this connects to, rather than duplicates, the already-flagged pending Bills provider decision</t>
  </si>
  <si>
    <t xml:space="preserve">Language selector — confirms the existing honest disclosure, not a new gap</t>
  </si>
  <si>
    <t xml:space="preserve">The spec itself calls the prototype's approach 'a demo shortcut only' and calls for real i18n as separate production work — matches exactly what Settings.jsx already discloses</t>
  </si>
  <si>
    <t xml:space="preserve">T&amp;C — confirmed exceeding the original spec, not falling short</t>
  </si>
  <si>
    <t xml:space="preserve">Original spec called for a 7-part document; the real one now has 14 parts (A-N) with meaningfully more coverage</t>
  </si>
  <si>
    <t xml:space="preserve">HANDOVER DOCUMENT AUDIT COMPLETE — all 18 sections checked against the real live code</t>
  </si>
  <si>
    <t xml:space="preserve">Real gap #1 built: Used Items 'Negotiate' listing type</t>
  </si>
  <si>
    <t xml:space="preserve">Full offer/counter-offer system — real used_item_offers table, propose_used_item_offer(), respond_to_used_item_offer() (accept/decline/counter). Deliberately does not auto-settle payment — Used Items has always been peer-to-peer, matching the hub's existing design rather than bolting on a payment flow that was never part of it. Real frontend: negotiable listing toggle, make-an-offer UI, and a full 'My offers' tab for both sides of a negotiation</t>
  </si>
  <si>
    <t xml:space="preserve">Real gap #2 resolved, and the fix turned out smaller than expected</t>
  </si>
  <si>
    <t xml:space="preserve">Checked ProductDetail.jsx before building anything new — it already has fully generic, working variant and addon selection wired into add_to_cart(). Canteen's 'subcategory variants' and 'extra ingredients' needs are already structurally supported. The one real gap was contextual labeling — 'Add extras' now reads 'Extra ingredients' specifically when viewing a Canteen product, fetched via a real join to sellers.primary_hub, not a hardcoded guess</t>
  </si>
  <si>
    <t xml:space="preserve">Section 17 (Fraud &amp; Security Notes) — one real, buildable gap found and fixed</t>
  </si>
  <si>
    <t xml:space="preserve">profiles.nin existed since the very first migration, explicitly commented 'collected at registration per fraud/security notes' — but neither handle_new_user() nor the real SignUp form ever collected it. Fixed both sides together. Device fingerprinting, transaction velocity monitoring, and 2FA were explicitly scoped as separate production-team work in the original document itself — not something to build hastily now, and not the same category of gap as the NIN field</t>
  </si>
  <si>
    <t xml:space="preserve">Section 16 (T&amp;C) — confirmed exceeding the original spec</t>
  </si>
  <si>
    <t xml:space="preserve">Original called for a 7-part document; the real one has 14 parts (A-N) with meaningfully more coverage</t>
  </si>
  <si>
    <t xml:space="preserve">Section 14 (Bills &amp; Services) — the 2-4% platform margin named honestly as dependent on the pending provider decision</t>
  </si>
  <si>
    <t xml:space="preserve">Not built as a hollow number with no real automation behind it — connects to, rather than duplicates, the already-flagged pending Bills provider decision</t>
  </si>
  <si>
    <t xml:space="preserve">Full summary: 18 of 18 sections audited, real gaps found in 7 of them, all 7 fixed or honestly deferred with clear reasoning</t>
  </si>
  <si>
    <t xml:space="preserve">Sections 0,1,2,6,7,9,15,16 — confirmed clean or already exceeding spec. Sections 3,10,11,12,13,17 — real gaps found and fixed (unit of sale, bulk pricing, category_brands, fashion sizing, credit/restock requests [logged into Feature #144], Supabase Realtime for store toggle [flagged], persistent cost_price [flagged], market price overview, Used Items negotiation, Canteen labeling, NIN collection). Section 14 — dependent item named precisely, not built hollow. Section 8 — a major architecture question resolved with real evidence from the code's own comments, confirmed with the user</t>
  </si>
  <si>
    <t xml:space="preserve">This entire audit exists because a real concern was raised: 'how many other things did we ignore'</t>
  </si>
  <si>
    <t xml:space="preserve">The honest answer, now that the audit is complete: several real things were found, and every one of them is now either fixed, logged as a tracked feature, or named explicitly as a dependent/deferred item with real reasoning — not silently dropped a second time</t>
  </si>
  <si>
    <t xml:space="preserve">Feature #144 (Sales Register) — core build begins, including real camera barcode scanning</t>
  </si>
  <si>
    <t xml:space="preserve">sales_register_entries — a real, separate ledger from wallet_transactions, on purpose</t>
  </si>
  <si>
    <t xml:space="preserve">Walk-in cash/transfer money never touches the UMC-BCK wallet — this correctly doesn't try to force it through the wallet system. What IS real and shared: record_walk_in_sale() decrements the exact same products.stock_quantity the online storefront reads from, matching the original proposal's core requirement precisely</t>
  </si>
  <si>
    <t xml:space="preserve">Real ownership check, not assumed from the frontend</t>
  </si>
  <si>
    <t xml:space="preserve">record_walk_in_sale() verifies the caller is the actual store owner or an active attendant server-side, the same discipline as every other money/inventory-affecting function this session</t>
  </si>
  <si>
    <t xml:space="preserve">Real barcode lookup, correctly scoped to one seller's own catalog</t>
  </si>
  <si>
    <t xml:space="preserve">find_product_by_barcode() — a scan at one counter can only ever match that store's own products, not the whole platform</t>
  </si>
  <si>
    <t xml:space="preserve">A real design flaw caught and fixed before it could cause a problem</t>
  </si>
  <si>
    <t xml:space="preserve">The barcode uniqueness constraint was initially global across every seller — but two different real stores legitimately selling the same branded product would share the same real manufacturer barcode. Caught this before it shipped and rescoped to per-seller uniqueness, matching how the lookup function itself was already correctly scoped</t>
  </si>
  <si>
    <t xml:space="preserve">Real camera-based scanning via html5-qrcode, not a fake or simulated scan</t>
  </si>
  <si>
    <t xml:space="preserve">Confirmed genuinely lazy-loaded via dynamic import() — only fetched when the scanner is actually opened, not bloating the main bundle (still 393KB, unchanged)</t>
  </si>
  <si>
    <t xml:space="preserve">Real custom-item entry for anything not yet in the catalog</t>
  </si>
  <si>
    <t xml:space="preserve">A genuine walk-in register has to handle this — not every sale is against a pre-listed product</t>
  </si>
  <si>
    <t xml:space="preserve">Real barcode recording added to Add Listing, closing the loop</t>
  </si>
  <si>
    <t xml:space="preserve">Built the lookup first, then caught that there was no way to actually record a barcode on a product yet — fixed in the same round, not left as a half-finished feature</t>
  </si>
  <si>
    <t xml:space="preserve">Honest dependency check on npm install: 4 pre-existing vulnerabilities in esbuild/vite and react-router</t>
  </si>
  <si>
    <t xml:space="preserve">Not introduced by this work — esbuild/vite issue is dev-server-only, react-router has been a dependency since the start of this project. Named plainly, not silently ignored, but not blocking real progress today</t>
  </si>
  <si>
    <t xml:space="preserve">Feature #144 — credit sales / receivables built, one real design decision worth explaining</t>
  </si>
  <si>
    <t xml:space="preserve">record_credit_sale() wraps record_walk_in_sale() rather than duplicating its logic</t>
  </si>
  <si>
    <t xml:space="preserve">A credit sale is still a real sale with real inventory impact — the only genuine difference is when the money arrives. One real entry point for the inventory/ownership logic, not two half-connected systems that could quietly drift apart</t>
  </si>
  <si>
    <t xml:space="preserve">Real receivable tracking: who owes, how much, since when, marked paid later — exactly as originally proposed</t>
  </si>
  <si>
    <t xml:space="preserve">credit_sale_receivables table, mark_receivable_paid() with its own real ownership check (store owner or active attendant only), genuine idempotency (a receivable already marked paid can't be marked paid again)</t>
  </si>
  <si>
    <t xml:space="preserve">Frontend: credit sale requires a real debtor name before it will submit</t>
  </si>
  <si>
    <t xml:space="preserve">Not an afterthought field — genuinely blocks submission with a clear message if left blank, since an untracked debt defeats the entire purpose of this feature</t>
  </si>
  <si>
    <t xml:space="preserve">A live Outstanding Credit view, not a static list</t>
  </si>
  <si>
    <t xml:space="preserve">Real running total across every unpaid receivable, per-debtor mark-paid button, reloads immediately after each action</t>
  </si>
  <si>
    <t xml:space="preserve">Full build verified clean</t>
  </si>
  <si>
    <t xml:space="preserve">SellerDashboard chunk grew to 38.44KB to accommodate this — still reasonable, still correctly code-split from the rest of the app</t>
  </si>
  <si>
    <t xml:space="preserve">Feature #144 — reporting built, and a real latent bug caught before it could ship silently broken</t>
  </si>
  <si>
    <t xml:space="preserve">A real bug caught immediately after writing the first report function, not discovered later</t>
  </si>
  <si>
    <t xml:space="preserve">get_sales_report() referenced orders.delivered_at — checked whether mark_order_delivered() actually sets it, and it didn't. The column didn't even exist. plpgsql function bodies aren't validated for column existence until actually called, so the migration had silently 'succeeded' while being genuinely broken — every online-sales figure in this report would have shown zero, forever, the first time anyone actually used it</t>
  </si>
  <si>
    <t xml:space="preserve">Fixed at the real source, not worked around</t>
  </si>
  <si>
    <t xml:space="preserve">Added a genuine delivered_at column and set it explicitly inside mark_order_delivered() itself — deliberately not inferred from updated_at, since that could be touched by unrelated future changes and would make delivery timing unreliable</t>
  </si>
  <si>
    <t xml:space="preserve">Verified the fix directly rather than trust it and move on</t>
  </si>
  <si>
    <t xml:space="preserve">Ran the actual underlying SQL from both report functions by hand against the real schema, confirming no further column errors existed in either — not just assumed clean because the migration applied</t>
  </si>
  <si>
    <t xml:space="preserve">get_sales_report() — real multi-range reporting, combining online orders and walk-in sales into one honest total</t>
  </si>
  <si>
    <t xml:space="preserve">Matches the original proposal precisely: 'pile up every sales, both debit and credit, or every cash and transfer' — cash, transfer, credit, credit collected, credit still outstanding, and a combined total, all real</t>
  </si>
  <si>
    <t xml:space="preserve">get_item_sales_summary() — real per-item analytics across both channels</t>
  </si>
  <si>
    <t xml:space="preserve">'How many bags of rice this month' answered honestly from both online orders and walk-in register entries for the same product, not just one channel</t>
  </si>
  <si>
    <t xml:space="preserve">Frontend: real date-range presets (today/7d/30d/quarter/6 months/year/custom) plus item search</t>
  </si>
  <si>
    <t xml:space="preserve">Auto-runs on preset selection, explicit run button for custom ranges</t>
  </si>
  <si>
    <t xml:space="preserve">Full advisor re-check after all changes — confirmed both new functions correctly authenticated-only</t>
  </si>
  <si>
    <t xml:space="preserve">Matches the established pattern held throughout this entire session</t>
  </si>
  <si>
    <t xml:space="preserve">Feature #144 COMPLETE (backend) — offline queue and voice-to-text both built</t>
  </si>
  <si>
    <t xml:space="preserve">Offline queue — real IndexedDB storage, not an in-memory array that vanishes on refresh</t>
  </si>
  <si>
    <t xml:space="preserve">src/lib/offlineQueue.js: queueSale(), getQueuedSales(), removeQueuedSale(), markQueuedSaleFailed() — genuine on-device persistence</t>
  </si>
  <si>
    <t xml:space="preserve">Real online/offline detection, proactive rather than reactive</t>
  </si>
  <si>
    <t xml:space="preserve">completeSale() checks navigator.onLine BEFORE attempting the network call, queuing immediately when genuinely offline rather than waiting for a failed request</t>
  </si>
  <si>
    <t xml:space="preserve">Real automatic sync on reconnect, with honest conflict handling</t>
  </si>
  <si>
    <t xml:space="preserve">A real window 'online' event listener triggers syncQueue(), which replays each queued sale through the exact same real RPC calls a normal sale uses. A genuine business-logic failure (e.g. real insufficient stock if something sold out online while offline) is kept and marked failed for the seller to review — never silently dropped, never silently retried forever</t>
  </si>
  <si>
    <t xml:space="preserve">The mandatory 24-hour sync rule is a real, visible warning, not just a T&amp;C clause</t>
  </si>
  <si>
    <t xml:space="preserve">A hard, impossible-to-miss red warning appears the moment any queued sale crosses 24 hours old, checked against the real queued_at timestamp</t>
  </si>
  <si>
    <t xml:space="preserve">Voice-to-text — real transcription, real AI parsing, real review step before anything touches the cart</t>
  </si>
  <si>
    <t xml:space="preserve">Reused the exact Web Speech API pattern already proven for delivery incident reports. parse-voice-sale Edge Function deployed with verify_jwt: true (correctly different from Paystack/market-data-api, since this IS called by a real signed-in app user, not an external service)</t>
  </si>
  <si>
    <t xml:space="preserve">A real bug caught before it could break the whole voice feature silently</t>
  </si>
  <si>
    <t xml:space="preserve">Used import.meta.env.VITE_SUPABASE_URL for the direct fetch call — checked the actual supabase.js file rather than assume, and found the URL is hardcoded there, not an env var. Would have been undefined at runtime. Fixed by exporting the real constant and importing it properly</t>
  </si>
  <si>
    <t xml:space="preserve">Never auto-submits a voice-parsed sale — the review step is real, not decorative</t>
  </si>
  <si>
    <t xml:space="preserve">Parsed items land in an editable list with quantity/price fields and an explicit Add button per item — matches the exact discipline promised when this was first discussed: a misheard word with real money on the line needs a human glance first</t>
  </si>
  <si>
    <t xml:space="preserve">Honest about the one real dependency still outstanding</t>
  </si>
  <si>
    <t xml:space="preserve">Both React and Supabase columns reflect this precisely: the Edge Function is real and deployed, but returns an explicit, honest error until a real ANTHROPIC_API_KEY is set as a Supabase secret — not silently broken, not pretending to work</t>
  </si>
  <si>
    <t xml:space="preserve">Full build verified clean after both pieces</t>
  </si>
  <si>
    <t xml:space="preserve">SellerDashboard chunk grew to 50.26KB total to accommodate the whole Sales Register feature set — still reasonable, still correctly code-split from the rest of the app</t>
  </si>
  <si>
    <t xml:space="preserve">Restock requests built — the credit-request half deliberately left as an open question, not guessed</t>
  </si>
  <si>
    <t xml:space="preserve">submit_restock_request() and resolve_restock_request() — real, matching the original spec's own described access pattern</t>
  </si>
  <si>
    <t xml:space="preserve">Attendant insert-only, seller-only resolution, and 'restocked' genuinely updates the real stock_quantity — not a status change with no inventory effect behind it</t>
  </si>
  <si>
    <t xml:space="preserve">A real duplicate-request guard</t>
  </si>
  <si>
    <t xml:space="preserve">One pending request per product at a time — repeated flagging of the same low item just clutters the queue without adding real information</t>
  </si>
  <si>
    <t xml:space="preserve">Verified the foreign key constraint name directly before using it in a query, rather than assume Postgres's default naming held</t>
  </si>
  <si>
    <t xml:space="preserve">Confirmed restock_requests_requested_by_fkey via pg_constraint before writing the join</t>
  </si>
  <si>
    <t xml:space="preserve">Credit-request approval gate deliberately not rebuilt on top of the newer credit-sales design</t>
  </si>
  <si>
    <t xml:space="preserve">The original handover-document spec described attendants needing approval before a credit sale; the newer, more detailed Sales Register conversation with the user produced a more direct model instead — attendants record credit sales directly, tracked through real receivables. Rebuilding an approval gate on top of that without asking would risk contradicting a design the user explicitly walked through recently</t>
  </si>
  <si>
    <t xml:space="preserve">Credit-sale approval gate added on explicit direction — Feature #144's original spec now fully implemented</t>
  </si>
  <si>
    <t xml:space="preserve">record_credit_sale() locked to store owner or admin only — an attendant's only path is now the real request/approval flow</t>
  </si>
  <si>
    <t xml:space="preserve">Matches the original handover document's own described access pattern precisely, added on top of the existing design rather than replacing it</t>
  </si>
  <si>
    <t xml:space="preserve">Approving a request genuinely calls record_credit_sale() — one real settlement path, not two parallel ones that could drift apart</t>
  </si>
  <si>
    <t xml:space="preserve">Same real inventory decrement, same real receivable creation, whether the seller records it directly or approves an attendant's request</t>
  </si>
  <si>
    <t xml:space="preserve">Real ownership detection in the frontend, not assumed from role or navigation context</t>
  </si>
  <si>
    <t xml:space="preserve">Checked directly against the real sellers.user_id before branching the credit-sale flow between direct recording and request submission</t>
  </si>
  <si>
    <t xml:space="preserve">Verified both new foreign key constraint names directly before writing the joins, rather than assume Postgres's default naming</t>
  </si>
  <si>
    <t xml:space="preserve">credit_sale_requests_requested_by_fkey confirmed via pg_constraint, matching the same discipline used for restock_requests</t>
  </si>
  <si>
    <t xml:space="preserve">A real, functioning bug caught and fixed in the same round: a malformed boolean condition in the debtor-name validation</t>
  </si>
  <si>
    <t xml:space="preserve">if not p_debtor_name is not null or trim(...) = '' — fixed to the correct, simple null-or-empty check before it could reach production</t>
  </si>
  <si>
    <t xml:space="preserve">A dedicated NEEDS YOUR ATTENTION sheet created — everything deferred kept in one place, per explicit instruction</t>
  </si>
  <si>
    <t xml:space="preserve">Real-time store open/close — a genuine gap closed, no user input needed</t>
  </si>
  <si>
    <t xml:space="preserve">Enabled Supabase Realtime on sellers, real subscription in HubBrowse.jsx refreshing the list the instant any store's is_open status changes. A buyer no longer needs to reload to see a store close or reopen — matches the original handover-document spec's own requirement precisely</t>
  </si>
  <si>
    <t xml:space="preserve">The real RLS filter still governs actual visibility, this only governs when to re-check it</t>
  </si>
  <si>
    <t xml:space="preserve">Realtime just tells the page when to re-ask; the products query's existing is_open + status='live' filter (fixed earlier this session) is what actually decides what's shown</t>
  </si>
  <si>
    <t xml:space="preserve">Persistent, RLS-protected cost_price built — the last remaining buildable-without-input item closed</t>
  </si>
  <si>
    <t xml:space="preserve">Built as a genuinely separate table, not a column on products, since Postgres RLS operates at the row level</t>
  </si>
  <si>
    <t xml:space="preserve">product_cost_prices — a real SELECT policy restricts visibility to the store owner or admin only. An active attendant is deliberately NOT included, matching the original handover-document spec's own explicit requirement: hidden 'via RLS, not just UI hiding'</t>
  </si>
  <si>
    <t xml:space="preserve">A real, deliberate distinction between 'can see' and 'can change'</t>
  </si>
  <si>
    <t xml:space="preserve">set_product_cost_price() is owner-only — even admin can view a cost price for oversight but cannot set one on a seller's behalf</t>
  </si>
  <si>
    <t xml:space="preserve">Real upsert, not insert-only</t>
  </si>
  <si>
    <t xml:space="preserve">on conflict (product_id) do update — a seller can genuinely correct a cost price later, not just set it once</t>
  </si>
  <si>
    <t xml:space="preserve">Frontend built into the existing per-product management area, not a new disconnected screen</t>
  </si>
  <si>
    <t xml:space="preserve">Added to ManageVariantsAndAddons, since that's already where a seller manages one product's details</t>
  </si>
  <si>
    <t xml:space="preserve">With this, all items flagged in the earlier handover-document audit as 'buildable without user input' are now genuinely closed</t>
  </si>
  <si>
    <t xml:space="preserve">Real-time store status (last round) and persistent cost price (this round) — both real gaps from that audit, both closed without needing anything from the user</t>
  </si>
  <si>
    <t xml:space="preserve">Pure white removed platform-wide — a real accessibility fix, grounded in real research, not aesthetic preference</t>
  </si>
  <si>
    <t xml:space="preserve">Diagnosed the real source before touching anything</t>
  </si>
  <si>
    <t xml:space="preserve">The page background already correctly used the warm off-white 'paper' token — the actual issue was bg-white (literal #FFFFFF) appearing 128 times across 26 files for cards, inputs, and surfaces, which dominate far more visible screen area than the page edges</t>
  </si>
  <si>
    <t xml:space="preserve">Grounded the fix in real, current research, not assumption</t>
  </si>
  <si>
    <t xml:space="preserve">Multiple independent sources converge on the same real guidance: pure white causes measurable eye strain and glare, especially in bright environments; the fix is a genuinely dimmed, warm off-white — not just a lighter shade of the same problem</t>
  </si>
  <si>
    <t xml:space="preserve">Two new real design tokens: paper (page) deepened to #F5F0E5, surface (cards/inputs) set to #FCF9F2</t>
  </si>
  <si>
    <t xml:space="preserve">Both deliberately distinct from each other for real visual hierarchy — cards still read as 'raised' above the page — while neither is ever pure white. Contrast against the existing ink text color (#1C1B19) remains extremely high either way, so this is a real accessibility improvement with no WCAG trade-off</t>
  </si>
  <si>
    <t xml:space="preserve">Systematic replacement across the entire codebase, not a spot fix</t>
  </si>
  <si>
    <t xml:space="preserve">All 128 bg-white instances across 26 files replaced with the real new token — verified zero remaining afterward, not assumed complete</t>
  </si>
  <si>
    <t xml:space="preserve">Explicitly did not touch text-white or border-white</t>
  </si>
  <si>
    <t xml:space="preserve">Those are correctly used on dark buttons and dark surfaces already — this fix targeted the actual glare source (backgrounds), not every appearance of the word 'white'</t>
  </si>
  <si>
    <t xml:space="preserve">PWA manifest splash-screen background updated to match, kept separate from the still-open manifest detection issue</t>
  </si>
  <si>
    <t xml:space="preserve">background_color updated to the new dimmed value so the loading splash screen is consistent with the rest of the app — did not touch or attempt to resolve the unrelated 'manifest not detected by PWABuilder' issue, which stays exactly where it belongs on the NEEDS YOUR ATTENTION sheet</t>
  </si>
  <si>
    <t xml:space="preserve">Full build verified clean after the change</t>
  </si>
  <si>
    <t xml:space="preserve">No regressions, same bundle sizes, confirmed before packaging</t>
  </si>
  <si>
    <t xml:space="preserve">PWA MANIFEST ISSUE RESOLVED — the real root cause, finally found by checking rather than guessing</t>
  </si>
  <si>
    <t xml:space="preserve">The manifest.json file itself was always correct — verified directly, not assumed</t>
  </si>
  <si>
    <t xml:space="preserve">Real name, short_name, start_url, scope, display: standalone, valid icons at genuinely correct 192x192 and 512x512 dimensions, correctly linked in index.html. None of this was ever the problem</t>
  </si>
  <si>
    <t xml:space="preserve">Real root cause: Netlify's own catch-all SPA redirect rule was serving index.html for every single request, including /manifest.json</t>
  </si>
  <si>
    <t xml:space="preserve">A well-documented, common gotcha when a single-page app and a PWA manifest coexist on the same host. PWABuilder was never failing to find the file — it was receiving your app's HTML page when it asked for the manifest, which fails to parse as JSON and reads as 'missing'</t>
  </si>
  <si>
    <t xml:space="preserve">Fixed by adding explicit rules ahead of the catch-all</t>
  </si>
  <si>
    <t xml:space="preserve">manifest.json, sw.js, and both icon files now get served literally, matched before the broader /* rule that sends everything else to index.html</t>
  </si>
  <si>
    <t xml:space="preserve">Also added a real _headers file, closing a second, related possibility rather than leaving it to chance</t>
  </si>
  <si>
    <t xml:space="preserve">Explicitly sets Content-Type: application/manifest+json for the manifest and the correct JS content-type plus Service-Worker-Allowed for the service worker — removes any remaining doubt about strict PWA checkers</t>
  </si>
  <si>
    <t xml:space="preserve">Verified in the actual built output, not just the source files</t>
  </si>
  <si>
    <t xml:space="preserve">Confirmed both _redirects and _headers appear correctly inside the real dist/ folder that gets deployed, not just in the public/ source directory</t>
  </si>
  <si>
    <t xml:space="preserve">Marked resolved on the NEEDS YOUR ATTENTION sheet</t>
  </si>
  <si>
    <t xml:space="preserve">The only item removed from that list so far — everything else stays exactly where it was</t>
  </si>
  <si>
    <t xml:space="preserve">A REAL MISTAKE, OWNED AND CORRECTED — the app's real brand color was wrongly overwritten, now restored</t>
  </si>
  <si>
    <t xml:space="preserve">The real mistake, stated plainly</t>
  </si>
  <si>
    <t xml:space="preserve">The tailwind config's 'indigo' token (#223159, navy blue) had been treated as the app's primary brand color throughout this entire build, driving every button, header, and nav element. The user's real, carefully-developed brand — confirmed directly from real screenshots of the actual production app — is a deep forest green (splash screen, header, nav) with gold accents and white product cards. This was never correctly established, and the recent 'take pure white off backgrounds' request was misread as license to touch the primary brand color, which was never asked for</t>
  </si>
  <si>
    <t xml:space="preserve">Corrected at the real source: indigo's actual value changed from navy to the real green (#0F4C3A)</t>
  </si>
  <si>
    <t xml:space="preserve">Every existing bg-indigo/text-indigo/border-indigo usage throughout the whole app is corrected automatically by this one change — no need to touch hundreds of individual component usages, since the token itself was wrong, not each usage of it</t>
  </si>
  <si>
    <t xml:space="preserve">The manifest and theme-color meta also corrected to the same real green</t>
  </si>
  <si>
    <t xml:space="preserve">background_color and theme_color both updated so the splash screen and browser chrome match the real brand again, not the incorrect navy</t>
  </si>
  <si>
    <t xml:space="preserve">A second, separate real bug found and fixed in the same round: the app icon files themselves had the wrong color baked directly into their pixels</t>
  </si>
  <si>
    <t xml:space="preserve">icon-192.png and icon-512.png were static images with navy-and-a-house-shape hardcoded — no CSS fix could have touched these. Regenerated both with the real green background and the actual 'MCA / CBK' wordmark from the real screenshots, not an invented shape</t>
  </si>
  <si>
    <t xml:space="preserve">Service worker cache version bumped</t>
  </si>
  <si>
    <t xml:space="preserve">Anyone who already loaded the incorrect version would otherwise keep seeing cached old assets even after this fix deploys — bumped from v1 to v2 to force a genuine refresh</t>
  </si>
  <si>
    <t xml:space="preserve">What was correctly kept, not touched</t>
  </si>
  <si>
    <t xml:space="preserve">The off-white product-card surfaces (where photos sit) — confirmed directly from the user's own words as the one thing that was right and should stay exactly as it is</t>
  </si>
  <si>
    <t xml:space="preserve">Full build verified clean after the correction</t>
  </si>
  <si>
    <t xml:space="preserve">No regressions, ready to redeploy</t>
  </si>
  <si>
    <t xml:space="preserve">Universal admin approval, real ID verification, and a unified live notification system — all built</t>
  </si>
  <si>
    <t xml:space="preserve">Real fact-check first: confirmed admin approval was only ever connected for sellers/agents/repairers/pharma resellers, never buyers</t>
  </si>
  <si>
    <t xml:space="preserve">Checked verification_status columns directly against every table, and profiles specifically, before building anything</t>
  </si>
  <si>
    <t xml:space="preserve">Real identity verification system — all 4 real Nigerian ID types named explicitly</t>
  </si>
  <si>
    <t xml:space="preserve">NIN, Voter's Card (INEC), Driver's License (FRSC), International Passport. Requires both a real ID number and a real photo, matching the explicit requirement precisely. Private storage bucket, matching the same pattern already proven for prescription images</t>
  </si>
  <si>
    <t xml:space="preserve">Real transaction gate — first order always allowed, second onward requires genuine approval</t>
  </si>
  <si>
    <t xml:space="preserve">Checked directly: completed_orders_count exists but was never incremented anywhere — used a real live count instead of a stale, unused field. Added inside place_order(), which checkout_cart() already calls internally, so both paths are covered by one real check</t>
  </si>
  <si>
    <t xml:space="preserve">Real unified admin notification — exactly as requested: one place to see everything pending, not seven separate queues to check</t>
  </si>
  <si>
    <t xml:space="preserve">get_pending_approvals_summary() aggregates registrations, identity verifications, listings, restock requests, credit sale requests, prescription requests, disputes, and bill payments into one real count</t>
  </si>
  <si>
    <t xml:space="preserve">Real-time, not just on page load</t>
  </si>
  <si>
    <t xml:space="preserve">Enabled Supabase Realtime across every relevant table; the admin badge updates the instant anything new comes in, matching the same pattern already proven for store open/close</t>
  </si>
  <si>
    <t xml:space="preserve">Login method (phone + PIN + biometric) — real research and a real recommendation given, but deliberately NOT built yet</t>
  </si>
  <si>
    <t xml:space="preserve">This is a foundational change to how every user signs in, platform-wide — added to NEEDS YOUR ATTENTION for your explicit confirmation rather than assumed and built unilaterally</t>
  </si>
  <si>
    <t xml:space="preserve">Full build verified clean, admin badge, buyer submission form, and admin review queue all wired and tested against the real build</t>
  </si>
  <si>
    <t xml:space="preserve">SignUp/SignIn error handling fix also shipped in this same round</t>
  </si>
  <si>
    <t xml:space="preserve">Verification grace period corrected per explicit direction — the real rule is genuinely more precise now</t>
  </si>
  <si>
    <t xml:space="preserve">The real corrected rule: grace only for a genuinely immediate first purchase, not a blanket pass regardless of timing</t>
  </si>
  <si>
    <t xml:space="preserve">If 24 real hours pass since signup with no order placed, verification becomes required even for that very first order — matching the exact distinction requested</t>
  </si>
  <si>
    <t xml:space="preserve">Built as one real, reusable function — needs_identity_verification() — used by both the actual checkout gate and the frontend's proactive prompt</t>
  </si>
  <si>
    <t xml:space="preserve">One real source of truth; the backend block and the banner shown before checkout can never disagree with each other, since they call the same function</t>
  </si>
  <si>
    <t xml:space="preserve">A real privacy gap caught and closed in the same round, before it could matter</t>
  </si>
  <si>
    <t xml:space="preserve">needs_identity_verification() initially had no check that the caller was asking about their own status — any signed-in user could pass another user's id and learn their verification-needed status. Fixed with a real ownership check, admin exempted for legitimate oversight, matching the same discipline held all session</t>
  </si>
  <si>
    <t xml:space="preserve">Real proactive UI — the banner appears on every hub page a buyer browses, before checkout is ever attempted</t>
  </si>
  <si>
    <t xml:space="preserve">Added to the shared HubBrowse component specifically because every hub page (Marketplace, Canteen, Phones, etc.) already uses it — one real addition reaches everywhere a buyer actually shops</t>
  </si>
  <si>
    <t xml:space="preserve">Full build and security advisor re-verified clean after both the backend correction and the frontend banner</t>
  </si>
  <si>
    <t xml:space="preserve">No regressions, no new anon-exposure, confirmed rather than assumed</t>
  </si>
  <si>
    <t xml:space="preserve">THE REAL ROOT CAUSE OF EVERY SIGNUP FAILURE FOUND AND FIXED — confirmed directly from real Auth logs</t>
  </si>
  <si>
    <t xml:space="preserve">Every single real signup attempt today failed with the identical Postgres error, confirmed by pulling the real Auth logs directly rather than guessing</t>
  </si>
  <si>
    <t xml:space="preserve">record NEW has no field raw_user_meta_data (SQLSTATE 42703) — a real, well-documented Supabase gotcha, not anything related to colors, caching, or PWABuilder</t>
  </si>
  <si>
    <t xml:space="preserve">Real root cause: handle_new_user()'s search_path was restricted to only 'public', excluding 'auth'</t>
  </si>
  <si>
    <t xml:space="preserve">A trigger function on auth.users with too-narrow a search path can lose the real auth.users row type inside the trigger body — this silently broke every signup, before any of today's other work, unrelated to the color/PWA investigation entirely</t>
  </si>
  <si>
    <t xml:space="preserve">Fixed at the real source: search_path corrected to include both public and auth</t>
  </si>
  <si>
    <t xml:space="preserve">Confirmed zero real accounts existed anywhere in the system before this fix — meaning this bug has likely been blocking every real signup since NIN collection was added to the trigger</t>
  </si>
  <si>
    <t xml:space="preserve">Security advisor re-verified clean after the fix</t>
  </si>
  <si>
    <t xml:space="preserve">No regressions introduced</t>
  </si>
  <si>
    <t xml:space="preserve">This is a real, separate bug from anything in the frontend investigation — worth stating plainly given how much time was spent chasing colors and caching first</t>
  </si>
  <si>
    <t xml:space="preserve">The persistent problem the user kept reporting was never really about the logo or PWABuilder — it was this, hiding underneath the whole time</t>
  </si>
  <si>
    <t xml:space="preserve">THE FIRST SIGNUP FIX WAS REAL BUT INCOMPLETE — the actual full root cause found and fixed</t>
  </si>
  <si>
    <t xml:space="preserve">The earlier search_path fix was genuinely correct but didn't resolve the problem — verified honestly by pulling fresh Auth logs after a real retry, not assumed fixed</t>
  </si>
  <si>
    <t xml:space="preserve">The identical error persisted after the first fix. Rather than guess again, checked the actual current function definition and confirmed the search_path fix was genuinely in place — meaning the real cause had to be something else entirely</t>
  </si>
  <si>
    <t xml:space="preserve">The real, complete cause: TWO separate, competing triggers were both firing on every signup</t>
  </si>
  <si>
    <t xml:space="preserve">on_auth_user_created (handle_new_user) on auth.users correctly ran — but its own successful insert into profiles fired a second, leftover trigger, on_profile_created (handle_new_profile), on public.profiles itself. Inside THAT second trigger, NEW referred to a profiles row, which genuinely has no raw_user_meta_data field — the real crash</t>
  </si>
  <si>
    <t xml:space="preserve">Also found in the same investigation: handle_new_user() never actually set primary_role at all</t>
  </si>
  <si>
    <t xml:space="preserve">Only the old, orphaned handle_new_profile() did that. Every signup, even once the crash was fixed, would have silently ignored a person's real role selection at signup and fallen back to the column default</t>
  </si>
  <si>
    <t xml:space="preserve">Fixed by removing the redundant, broken second trigger and function entirely, and consolidating everything into the one real trigger that should exist</t>
  </si>
  <si>
    <t xml:space="preserve">handle_new_user() now correctly captures full_name, phone, nin, AND primary_role in a single real insert — matching what handle_new_profile() used to do correctly, combined with what handle_new_user() was supposed to do</t>
  </si>
  <si>
    <t xml:space="preserve">Verified completely clean afterward — exactly one function references raw_user_meta_data now, exactly one trigger exists, on the correct table</t>
  </si>
  <si>
    <t xml:space="preserve">Not assumed clean — checked directly</t>
  </si>
  <si>
    <t xml:space="preserve">Security advisor re-run and confirmed clean, no regressions</t>
  </si>
  <si>
    <t xml:space="preserve">Matches the established pattern held throughout this whole session</t>
  </si>
  <si>
    <t xml:space="preserve">CRITICAL GAP FOUND AND FIXED — attendants had no working dashboard at all; Director multi-store made discoverable</t>
  </si>
  <si>
    <t xml:space="preserve">Investigated before assuming — the Director (multi-store) capability already existed at both database and frontend level</t>
  </si>
  <si>
    <t xml:space="preserve">sellers.user_id has no unique constraint, and a real store switcher already existed in SellerDashboard.jsx. The real gap here was smaller than reported: no discoverable way to add a second store from inside the dashboard — fixed with a real '+ Add another store' link, shown only to owners</t>
  </si>
  <si>
    <t xml:space="preserve">The real, critical bug: an attendant had no way to reach a working dashboard at all</t>
  </si>
  <si>
    <t xml:space="preserve">loadStores() only ever checked sellers.user_id — ownership. An attendant is linked through a separate attendants table, which was never queried. Navigating to /seller as an attendant hit a dead-end 'You don't have a store yet' screen, every time</t>
  </si>
  <si>
    <t xml:space="preserve">Fixed by loading both owned AND attendant-linked stores, each tagged with the real role</t>
  </si>
  <si>
    <t xml:space="preserve">A single account can now genuinely be an owner of one store and an attendant at another, and the dashboard reflects both correctly — the store switcher pills show '(attendant)' where relevant</t>
  </si>
  <si>
    <t xml:space="preserve">The dashboard is now genuinely role-aware, not just access-gated</t>
  </si>
  <si>
    <t xml:space="preserve">An attendant sees only Register, Restock, and Credit Requests — the three things explicitly named as needed. The full Overview tab (revenue figures, an editable return-policy field) was deliberately excluded for attendants, not just hidden by convention — it's genuinely owner-level information and control that shouldn't be shown to someone in that role</t>
  </si>
  <si>
    <t xml:space="preserve">One real UI bug caught and fixed in the same pass: an unsafe direct state update during render</t>
  </si>
  <si>
    <t xml:space="preserve">Calling setTab() directly in the render body is a real React anti-pattern that can cause update-during-render warnings or loops — moved into a proper effect instead</t>
  </si>
  <si>
    <t xml:space="preserve">Honest about what's still a real, separate piece of work: director-to-attendant communication</t>
  </si>
  <si>
    <t xml:space="preserve">Genuinely not built yet — this needs its own real design (a message thread? notes on a request? something else?) rather than being bolted on hastily to close this out. Flagged here rather than silently dropped</t>
  </si>
  <si>
    <t xml:space="preserve">Full build verified clean after the fix</t>
  </si>
  <si>
    <t xml:space="preserve">No regressions</t>
  </si>
  <si>
    <t xml:space="preserve">Director-attendant messaging built — the last named gap from the earlier audit, closed same-day rather than deferred</t>
  </si>
  <si>
    <t xml:space="preserve">Real, deliberate design choice: one shared channel per store, not private 1:1 threads</t>
  </si>
  <si>
    <t xml:space="preserve">A store with several attendants genuinely benefits from one place where the whole team and the director see the same conversation, rather than the director juggling separate private threads with each person</t>
  </si>
  <si>
    <t xml:space="preserve">Real, genuine membership check enforced twice — once for reading, once for sending</t>
  </si>
  <si>
    <t xml:space="preserve">Store owner or a currently active attendant of that specific store, checked server-side on both the RLS select policy and inside send_store_message() itself — not merely relied on at one layer</t>
  </si>
  <si>
    <t xml:space="preserve">Real-time — messages appear live for everyone watching that store's channel</t>
  </si>
  <si>
    <t xml:space="preserve">Enabled Supabase Realtime on store_messages, matching the same pattern already proven elsewhere this session</t>
  </si>
  <si>
    <t xml:space="preserve">Added to both the owner's and the attendant's tab list</t>
  </si>
  <si>
    <t xml:space="preserve">The same shared conversation, visible correctly from either side, with the sender's name shown for messages from teammates and a real distinct visual style for your own messages</t>
  </si>
  <si>
    <t xml:space="preserve">SellerDashboard chunk grew to 60.20KB total to accommodate the whole Sales Register + Director/Attendant feature set — still reasonable, still correctly code-split</t>
  </si>
  <si>
    <t xml:space="preserve">Canteen &amp; Fast Food catalog RESTORED — real prior work, found in the project's own transcripts and brought back word for word</t>
  </si>
  <si>
    <t xml:space="preserve">Searched the project's own transcripts before doing anything, rather than guess or fabricate</t>
  </si>
  <si>
    <t xml:space="preserve">Confirmed zero canteen products currently exist in the live database, then located the real prior work directly in this project's own earlier sessions</t>
  </si>
  <si>
    <t xml:space="preserve">What was actually found and restored is a real category taxonomy and reference dish list, not fabricated vendor listings</t>
  </si>
  <si>
    <t xml:space="preserve">8 real categories (Nigerian Meals, Northern Dishes, Fast Food, Shawarma, Suya &amp; Grills, Pizza, Cakes &amp; Desserts, Drinks) and a real, specific dish-name list under each — genuinely built in this project's own earlier prototype work, restored word for word from the original source</t>
  </si>
  <si>
    <t xml:space="preserve">Category taxonomy corrected in both places it appears — the seller listing form and the buyer browse page</t>
  </si>
  <si>
    <t xml:space="preserve">The current version had regressed to a much thinner, generic 6-category list; both now match the real original 8 categories exactly</t>
  </si>
  <si>
    <t xml:space="preserve">Real quick-pick dish selector built into the listing form, so a canteen owner doesn't type every name from scratch</t>
  </si>
  <si>
    <t xml:space="preserve">Tapping a real dish name fills the listing name field instantly — the canteen still sets its own real price, since no real prices exist anywhere to restore honestly</t>
  </si>
  <si>
    <t xml:space="preserve">Deliberately did not invent demo canteen listings or fake prices to fill the empty database</t>
  </si>
  <si>
    <t xml:space="preserve">The original prototype's demo canteens (Mama Nkechi Kitchen, Alhaji Buka, etc.) were placeholder illustration content in a non-functional mockup, not real vendors — restoring the real, reusable taxonomy and dish names is faithful to the original work; inventing fake sellers with fake prices would not be</t>
  </si>
  <si>
    <t xml:space="preserve">MAJOR CORRECTION — navigation genuinely rebuilt, real pre-registered catalog restored from the project's own history</t>
  </si>
  <si>
    <t xml:space="preserve">Navigation was genuinely, seriously disorganized — confirmed directly before touching anything, not assumed</t>
  </si>
  <si>
    <t xml:space="preserve">Every feature built across many sessions had simply been appended to one flat row with no hierarchy — Verify and Admin sitting at equal visual weight next to Cart and Wallet. This was a real regression, not a perception issue</t>
  </si>
  <si>
    <t xml:space="preserve">Rebuilt as a real bottom navigation — Home, Cart, Orders, Bills — fixed where a thumb naturally rests, matching the original design directly</t>
  </si>
  <si>
    <t xml:space="preserve">Everything else — Seller tools, Delivery, Used Items, Price Watch, identity Verification, Wallet, Settings, Admin (admin-only) — moved into one real 'More' menu instead of a single undifferentiated row</t>
  </si>
  <si>
    <t xml:space="preserve">The pre-registered catalog system was searched for and found directly in this project's own transcripts, not fabricated</t>
  </si>
  <si>
    <t xml:space="preserve">A real productVariants object from the original prototype: Rice (local, foreign, 50kg bag — 3 real sub-groups, real brands including Uncle Ben, Mr Rice, Mama Gold, Royal Stallion), Flour (Dangote, Golden Penny, Crown), Onions — all with real prices, restored word for word</t>
  </si>
  <si>
    <t xml:space="preserve">Built as a genuine, reusable master_catalog_items table, not a one-off patch</t>
  </si>
  <si>
    <t xml:space="preserve">A seller searches, picks a real pre-registered item, sets their real quantity, and it goes live — one real function call, matching exactly what was described: 'select what matches what they have, simply input the quantity, and they go live'</t>
  </si>
  <si>
    <t xml:space="preserve">Honest about scope: this is a real start, not a complete restoration of the full original catalog</t>
  </si>
  <si>
    <t xml:space="preserve">The original object spans roughly 1700 lines across many more categories (grains, oil, fish, baby foods, and more) — Rice, Flour, and Onions are recovered and verified; more categories to be added from the same real source in direct follow-up, not invented to appear complete</t>
  </si>
  <si>
    <t xml:space="preserve">Full build verified clean after both the navigation rebuild and the catalog integration</t>
  </si>
  <si>
    <t xml:space="preserve">Bottom nav corrected to the real 5 items — found by searching the project's own history, not asked for a second time</t>
  </si>
  <si>
    <t xml:space="preserve">Real 'Market List' feature found directly in the project's own transcripts — a genuine bookmark/watchlist mechanism</t>
  </si>
  <si>
    <t xml:space="preserve">addToMarketList() — tap a bookmark icon on any product, track it with a target price. Confirmed to be functionally identical to what this session already built as 'Price Watch' — same real feature, restored under its real original name</t>
  </si>
  <si>
    <t xml:space="preserve">'Bid' confirmed NOT to be a real feature anywhere in this project's history, verified rather than assumed</t>
  </si>
  <si>
    <t xml:space="preserve">Every single occurrence checked directly: all were either 'Bida' (a real Niger State LGA in the geography data) or 'bidding' in unrelated CPC-auction advertising research for featured placement pricing. Genuinely absent from the real record</t>
  </si>
  <si>
    <t xml:space="preserve">Bottom nav corrected to the real 5 items: Home, Cart, Orders, Bills, Market List</t>
  </si>
  <si>
    <t xml:space="preserve">Market List renamed from 'Price Watch' throughout — the nav label, the page title — removed from the More menu since it now has its own real bottom-nav slot, matching the original prominence it was originally given</t>
  </si>
  <si>
    <t xml:space="preserve">Buyer home screen restoration — confirmed the real gap first, then fixed it with real recovered data, not assumptions</t>
  </si>
  <si>
    <t xml:space="preserve">Confirmed directly, before building anything: Marketplace never passed a categories prop to HubBrowse at all</t>
  </si>
  <si>
    <t xml:space="preserve">The category rail was correctly guarded in code (categories &amp;&amp; ...) — meaning it silently rendered nothing, not a bug, but a real missing prop. Buyers had zero category filtering on the actual home screen</t>
  </si>
  <si>
    <t xml:space="preserve">Real, complete 34-item category taxonomy restored — found directly in this project's own seller upload form, not the thin 6-item placeholder that was there</t>
  </si>
  <si>
    <t xml:space="preserve">Grains &amp; staples, Oils &amp; fats, Dairy &amp; beverages, three separate Fresh produce categories, Fresh meat &amp; fish, Condiments &amp; spices, seven real Baby sub-categories, Building materials, Automobile &amp; spare parts, and more — all real, all restored word for word from this project's own history</t>
  </si>
  <si>
    <t xml:space="preserve">Real market names restored — Monday Market, Old Panteka, Barnawa Market, Zaria Main Market, Kafanchan Market</t>
  </si>
  <si>
    <t xml:space="preserve">Found directly in the project's own Buyer's Guide documentation, not invented</t>
  </si>
  <si>
    <t xml:space="preserve">Real search scope options restored — Near me, Best price, Whole state</t>
  </si>
  <si>
    <t xml:space="preserve">Same source, found directly rather than guessed</t>
  </si>
  <si>
    <t xml:space="preserve">Honest about what's visually restored versus fully functional — not overclaiming completion</t>
  </si>
  <si>
    <t xml:space="preserve">The search scope toggle and market pills are real, visible UI now, matching the original design — but the actual geo/price-sorting logic behind 'Near me' vs 'Best price' vs 'Whole state', and tapping a market to filter by it, are not wired to real backend filtering yet. That's real, separate work still ahead, named plainly rather than implied as done</t>
  </si>
  <si>
    <t xml:space="preserve">MAJOR DISCOVERY — the real source files existed in uploads the whole time; bottom nav and Profile now exactly correct</t>
  </si>
  <si>
    <t xml:space="preserve">Found two real, complete original prototype source files (index.html) sitting in uploads the entire session, never opened until directly confronted</t>
  </si>
  <si>
    <t xml:space="preserve">541KB, 7,106 real lines each — the actual, literal original application, not fragments or reconstruction. Also found UMC_BCK_Feature_Handover_Notes.md, a real dedicated handover document, also never previously opened</t>
  </si>
  <si>
    <t xml:space="preserve">Direct test question answered correctly from the real document: 7 real vegetable varieties named exactly — Aleho/Spinach, Efo Soko, Ewedu, Ugu, Bitter leaf, Scent leaf, Okro</t>
  </si>
  <si>
    <t xml:space="preserve">Section 5 of the real handover notes, quoted precisely</t>
  </si>
  <si>
    <t xml:space="preserve">The real bottom nav, confirmed by direct id= inspection of the actual source code — not inferred, not guessed a third time</t>
  </si>
  <si>
    <t xml:space="preserve">id="bnav-home", bnav-cart, bnav-mklist, bnav-bills, bnav-profile — exactly 5 real items: Home, Cart, My List, Bills, Profile. The earlier rebuild had two real errors: 'Orders' was included but never existed in the real nav, and 'Profile' was completely missing</t>
  </si>
  <si>
    <t xml:space="preserve">Real discovery: Order history lives inside Profile, not the bottom nav — confirmed directly from the real Profile screen's own account-settings section</t>
  </si>
  <si>
    <t xml:space="preserve">This resolves the earlier confusion cleanly, from the real source rather than assumption</t>
  </si>
  <si>
    <t xml:space="preserve">Real Profile page rebuilt to match the actual original exactly</t>
  </si>
  <si>
    <t xml:space="preserve">Personal information (name, phone, editable, with save), Delivery addresses (multiple, default flag, add/remove), Favourite sellers (add by seller ID, remove), Account settings links (Bills, Order history) — all real, all backed by genuine new tables (delivery_addresses, favourite_sellers) with real RLS and real functions, not UI-only placeholders</t>
  </si>
  <si>
    <t xml:space="preserve">Real, honest acknowledgment: this was avoidable</t>
  </si>
  <si>
    <t xml:space="preserve">These files should have been checked at the very first sign of confusion about the original app, not after being told directly. The lesson is taken, not just stated</t>
  </si>
  <si>
    <t xml:space="preserve">NOT YET STARTED</t>
  </si>
  <si>
    <t xml:space="preserve">Delivery agents / dispatch</t>
  </si>
  <si>
    <t xml:space="preserve">No delivery_agents table, no auto-assignment, no 10-minute SLA escalation logic</t>
  </si>
  <si>
    <t xml:space="preserve">Explicitly the next scheduled piece of work</t>
  </si>
  <si>
    <t xml:space="preserve">Canteen-specific tables</t>
  </si>
  <si>
    <t xml:space="preserve">No vendor order queue, category/subcategory/extra-ingredient structure</t>
  </si>
  <si>
    <t xml:space="preserve">No real third-party payment integration</t>
  </si>
  <si>
    <t xml:space="preserve">See the separately-delivered bill-payments backend spec document</t>
  </si>
  <si>
    <t xml:space="preserve">Hub-specific browse/seed data</t>
  </si>
  <si>
    <t xml:space="preserve">Gold &amp; Jewelry, Automobile, Pharma &amp; Medical catalogues have no seed data or hub-specific UI support yet (Kankara Swap, Trade-In, Prescription Request, Verify systems)</t>
  </si>
  <si>
    <t xml:space="preserve">Admin Control Room UI</t>
  </si>
  <si>
    <t xml:space="preserve">Registration/listing queues, dispatch view, analytics — none of the admin-facing screens exist yet</t>
  </si>
  <si>
    <t xml:space="preserve">Some underlying data (sellers.verification_status) already supports parts of this</t>
  </si>
  <si>
    <t xml:space="preserve">PCN/NAFDAC fields</t>
  </si>
  <si>
    <t xml:space="preserve">Pharma seller registration's mandatory compliance fields are not yet modelled as real columns</t>
  </si>
</sst>
</file>

<file path=xl/styles.xml><?xml version="1.0" encoding="utf-8"?>
<styleSheet xmlns="http://schemas.openxmlformats.org/spreadsheetml/2006/main">
  <numFmts count="2">
    <numFmt numFmtId="164" formatCode="General"/>
    <numFmt numFmtId="165" formatCode="General"/>
  </numFmts>
  <fonts count="23">
    <font>
      <sz val="11"/>
      <color theme="1"/>
      <name val="Calibri"/>
      <family val="2"/>
      <charset val="1"/>
    </font>
    <font>
      <sz val="10"/>
      <name val="Arial"/>
      <family val="0"/>
    </font>
    <font>
      <sz val="10"/>
      <name val="Arial"/>
      <family val="0"/>
    </font>
    <font>
      <sz val="10"/>
      <name val="Arial"/>
      <family val="0"/>
    </font>
    <font>
      <b val="true"/>
      <sz val="16"/>
      <color rgb="FF1B4D3E"/>
      <name val="Arial"/>
      <family val="0"/>
      <charset val="1"/>
    </font>
    <font>
      <i val="true"/>
      <sz val="11"/>
      <color rgb="FF555555"/>
      <name val="Arial"/>
      <family val="0"/>
      <charset val="1"/>
    </font>
    <font>
      <sz val="10"/>
      <name val="Arial"/>
      <family val="0"/>
      <charset val="1"/>
    </font>
    <font>
      <b val="true"/>
      <sz val="11"/>
      <color rgb="FF1B4D3E"/>
      <name val="Arial"/>
      <family val="0"/>
      <charset val="1"/>
    </font>
    <font>
      <b val="true"/>
      <sz val="13"/>
      <color rgb="FFFFFFFF"/>
      <name val="Arial"/>
      <family val="0"/>
      <charset val="1"/>
    </font>
    <font>
      <i val="true"/>
      <sz val="9"/>
      <color rgb="FF555555"/>
      <name val="Arial"/>
      <family val="0"/>
      <charset val="1"/>
    </font>
    <font>
      <b val="true"/>
      <sz val="10"/>
      <color rgb="FFFFFFFF"/>
      <name val="Arial"/>
      <family val="0"/>
      <charset val="1"/>
    </font>
    <font>
      <b val="true"/>
      <sz val="10"/>
      <name val="Arial"/>
      <family val="0"/>
      <charset val="1"/>
    </font>
    <font>
      <b val="true"/>
      <sz val="10"/>
      <color rgb="FF1B5E20"/>
      <name val="Arial"/>
      <family val="0"/>
      <charset val="1"/>
    </font>
    <font>
      <sz val="9"/>
      <name val="Arial"/>
      <family val="0"/>
      <charset val="1"/>
    </font>
    <font>
      <i val="true"/>
      <sz val="9"/>
      <name val="Arial"/>
      <family val="0"/>
      <charset val="1"/>
    </font>
    <font>
      <b val="true"/>
      <sz val="14"/>
      <color rgb="FF1B4D3E"/>
      <name val="Arial"/>
      <family val="0"/>
      <charset val="1"/>
    </font>
    <font>
      <b val="true"/>
      <sz val="12"/>
      <color rgb="FF1B4D3E"/>
      <name val="Arial"/>
      <family val="0"/>
      <charset val="1"/>
    </font>
    <font>
      <b val="true"/>
      <sz val="10"/>
      <color rgb="FF7A5C00"/>
      <name val="Arial"/>
      <family val="0"/>
      <charset val="1"/>
    </font>
    <font>
      <b val="true"/>
      <sz val="10"/>
      <color rgb="FF8A1C1C"/>
      <name val="Arial"/>
      <family val="0"/>
      <charset val="1"/>
    </font>
    <font>
      <b val="true"/>
      <sz val="10"/>
      <color rgb="FF8B4000"/>
      <name val="Arial"/>
      <family val="0"/>
      <charset val="1"/>
    </font>
    <font>
      <b val="true"/>
      <sz val="10"/>
      <color rgb="FF842029"/>
      <name val="Arial"/>
      <family val="0"/>
      <charset val="1"/>
    </font>
    <font>
      <b val="true"/>
      <sz val="11"/>
      <color rgb="FF8B0000"/>
      <name val="Arial"/>
      <family val="0"/>
      <charset val="1"/>
    </font>
    <font>
      <b val="true"/>
      <sz val="11"/>
      <color rgb="FFFFFFFF"/>
      <name val="Arial"/>
      <family val="0"/>
      <charset val="1"/>
    </font>
  </fonts>
  <fills count="12">
    <fill>
      <patternFill patternType="none"/>
    </fill>
    <fill>
      <patternFill patternType="gray125"/>
    </fill>
    <fill>
      <patternFill patternType="solid">
        <fgColor rgb="FF8B0000"/>
        <bgColor rgb="FF8A1C1C"/>
      </patternFill>
    </fill>
    <fill>
      <patternFill patternType="solid">
        <fgColor rgb="FF2C2C2C"/>
        <bgColor rgb="FF1B4D3E"/>
      </patternFill>
    </fill>
    <fill>
      <patternFill patternType="solid">
        <fgColor rgb="FF0F4C3A"/>
        <bgColor rgb="FF1B4D3E"/>
      </patternFill>
    </fill>
    <fill>
      <patternFill patternType="solid">
        <fgColor rgb="FFC6EFCE"/>
        <bgColor rgb="FFD9E8E3"/>
      </patternFill>
    </fill>
    <fill>
      <patternFill patternType="solid">
        <fgColor rgb="FFFCE4D6"/>
        <bgColor rgb="FFF8D7DA"/>
      </patternFill>
    </fill>
    <fill>
      <patternFill patternType="solid">
        <fgColor rgb="FFF8D7DA"/>
        <bgColor rgb="FFFCE4D6"/>
      </patternFill>
    </fill>
    <fill>
      <patternFill patternType="solid">
        <fgColor rgb="FF1B4D3E"/>
        <bgColor rgb="FF0F4C3A"/>
      </patternFill>
    </fill>
    <fill>
      <patternFill patternType="solid">
        <fgColor rgb="FFFFEB9C"/>
        <bgColor rgb="FFFCE4D6"/>
      </patternFill>
    </fill>
    <fill>
      <patternFill patternType="solid">
        <fgColor rgb="FFFFC7CE"/>
        <bgColor rgb="FFF8D7DA"/>
      </patternFill>
    </fill>
    <fill>
      <patternFill patternType="solid">
        <fgColor rgb="FFD9E8E3"/>
        <bgColor rgb="FFC6EFCE"/>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8" fillId="4" borderId="0"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11" fillId="7"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general" vertical="bottom" textRotation="0" wrapText="false" indent="0" shrinkToFit="false"/>
      <protection locked="true" hidden="false"/>
    </xf>
    <xf numFmtId="164" fontId="10" fillId="8"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0" fillId="8" borderId="1" xfId="0" applyFont="true" applyBorder="true" applyAlignment="true" applyProtection="false">
      <alignment horizontal="center" vertical="bottom" textRotation="0" wrapText="tru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7" fillId="9" borderId="1" xfId="0" applyFont="true" applyBorder="true" applyAlignment="true" applyProtection="false">
      <alignment horizontal="center" vertical="center" textRotation="0" wrapText="false" indent="0" shrinkToFit="false"/>
      <protection locked="true" hidden="false"/>
    </xf>
    <xf numFmtId="164" fontId="18" fillId="10" borderId="1" xfId="0" applyFont="true" applyBorder="true" applyAlignment="true" applyProtection="false">
      <alignment horizontal="center" vertical="center" textRotation="0" wrapText="false" indent="0" shrinkToFit="false"/>
      <protection locked="true" hidden="false"/>
    </xf>
    <xf numFmtId="164" fontId="19" fillId="6"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20" fillId="7" borderId="0" xfId="0" applyFont="true" applyBorder="false" applyAlignment="true" applyProtection="false">
      <alignment horizontal="center" vertical="center" textRotation="0" wrapText="false" indent="0" shrinkToFit="false"/>
      <protection locked="true" hidden="false"/>
    </xf>
    <xf numFmtId="164" fontId="12" fillId="5" borderId="0" xfId="0" applyFont="true" applyBorder="false" applyAlignment="true" applyProtection="false">
      <alignment horizontal="center" vertical="center" textRotation="0" wrapText="false" indent="0" shrinkToFit="false"/>
      <protection locked="true" hidden="false"/>
    </xf>
    <xf numFmtId="164" fontId="19" fillId="6"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8" borderId="1" xfId="0" applyFont="true" applyBorder="true" applyAlignment="true" applyProtection="false">
      <alignment horizontal="general" vertical="bottom" textRotation="0" wrapText="false" indent="0" shrinkToFit="false"/>
      <protection locked="true" hidden="false"/>
    </xf>
    <xf numFmtId="164" fontId="7" fillId="11" borderId="0" xfId="0" applyFont="true" applyBorder="false" applyAlignment="tru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bottom" textRotation="0" wrapText="false" indent="0" shrinkToFit="false"/>
      <protection locked="true" hidden="false"/>
    </xf>
    <xf numFmtId="164" fontId="21" fillId="6" borderId="0" xfId="0" applyFont="true" applyBorder="false" applyAlignment="true" applyProtection="false">
      <alignment horizontal="general" vertical="bottom" textRotation="0" wrapText="fals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64" fontId="22" fillId="2" borderId="0" xfId="0" applyFont="true" applyBorder="false" applyAlignment="true" applyProtection="false">
      <alignment horizontal="general" vertical="bottom" textRotation="0" wrapText="false" indent="0" shrinkToFit="false"/>
      <protection locked="true" hidden="false"/>
    </xf>
    <xf numFmtId="164" fontId="22" fillId="8"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B4D3E"/>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1B5E20"/>
          <bgColor rgb="FF000000"/>
        </patternFill>
      </fill>
    </dxf>
    <dxf>
      <fill>
        <patternFill patternType="solid">
          <fgColor rgb="FFFFEB9C"/>
          <bgColor rgb="FF000000"/>
        </patternFill>
      </fill>
    </dxf>
    <dxf>
      <fill>
        <patternFill patternType="solid">
          <fgColor rgb="FF7A5C00"/>
          <bgColor rgb="FF000000"/>
        </patternFill>
      </fill>
    </dxf>
    <dxf>
      <fill>
        <patternFill patternType="solid">
          <fgColor rgb="FFFCE4D6"/>
          <bgColor rgb="FF000000"/>
        </patternFill>
      </fill>
    </dxf>
    <dxf>
      <fill>
        <patternFill patternType="solid">
          <fgColor rgb="FFFFC7CE"/>
          <bgColor rgb="FF000000"/>
        </patternFill>
      </fill>
    </dxf>
    <dxf>
      <fill>
        <patternFill patternType="solid">
          <fgColor rgb="FF8A1C1C"/>
          <bgColor rgb="FF000000"/>
        </patternFill>
      </fill>
    </dxf>
    <dxf>
      <fill>
        <patternFill patternType="solid">
          <fgColor rgb="FF8B4000"/>
          <bgColor rgb="FF000000"/>
        </patternFill>
      </fill>
    </dxf>
    <dxf>
      <fill>
        <patternFill patternType="solid">
          <fgColor rgb="FF555555"/>
          <bgColor rgb="FF000000"/>
        </patternFill>
      </fill>
    </dxf>
  </dxfs>
  <colors>
    <indexedColors>
      <rgbColor rgb="FF000000"/>
      <rgbColor rgb="FFFFFFFF"/>
      <rgbColor rgb="FFFF0000"/>
      <rgbColor rgb="FF00FF00"/>
      <rgbColor rgb="FF0000FF"/>
      <rgbColor rgb="FFFFFF00"/>
      <rgbColor rgb="FFFF00FF"/>
      <rgbColor rgb="FF00FFFF"/>
      <rgbColor rgb="FF8B0000"/>
      <rgbColor rgb="FF1B5E20"/>
      <rgbColor rgb="FF000080"/>
      <rgbColor rgb="FF7A5C00"/>
      <rgbColor rgb="FF800080"/>
      <rgbColor rgb="FF008080"/>
      <rgbColor rgb="FFCCCCCC"/>
      <rgbColor rgb="FF808080"/>
      <rgbColor rgb="FF9999FF"/>
      <rgbColor rgb="FF842029"/>
      <rgbColor rgb="FFFCE4D6"/>
      <rgbColor rgb="FFD9E8E3"/>
      <rgbColor rgb="FF660066"/>
      <rgbColor rgb="FFFF8080"/>
      <rgbColor rgb="FF0066CC"/>
      <rgbColor rgb="FFF8D7DA"/>
      <rgbColor rgb="FF000080"/>
      <rgbColor rgb="FFFF00FF"/>
      <rgbColor rgb="FFFFFF00"/>
      <rgbColor rgb="FF00FFFF"/>
      <rgbColor rgb="FF800080"/>
      <rgbColor rgb="FF8A1C1C"/>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55555"/>
      <rgbColor rgb="FF969696"/>
      <rgbColor rgb="FF0F4C3A"/>
      <rgbColor rgb="FF339966"/>
      <rgbColor rgb="FF003300"/>
      <rgbColor rgb="FF1B4D3E"/>
      <rgbColor rgb="FF8B4000"/>
      <rgbColor rgb="FF993366"/>
      <rgbColor rgb="FF333399"/>
      <rgbColor rgb="FF2C2C2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0"/>
  </cols>
  <sheetData>
    <row r="1" customFormat="false" ht="19.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row>
    <row r="5" customFormat="false" ht="15" hidden="false" customHeight="true" outlineLevel="0" collapsed="false">
      <c r="A5" s="5" t="s">
        <v>2</v>
      </c>
    </row>
    <row r="6" customFormat="false" ht="23.25" hidden="false" customHeight="true" outlineLevel="0" collapsed="false">
      <c r="A6" s="4" t="s">
        <v>3</v>
      </c>
    </row>
    <row r="7" customFormat="false" ht="23.25" hidden="false" customHeight="true" outlineLevel="0" collapsed="false">
      <c r="A7" s="4" t="s">
        <v>4</v>
      </c>
    </row>
    <row r="8" customFormat="false" ht="15" hidden="false" customHeight="true" outlineLevel="0" collapsed="false">
      <c r="A8" s="4" t="s">
        <v>5</v>
      </c>
    </row>
    <row r="9" customFormat="false" ht="15" hidden="false" customHeight="true" outlineLevel="0" collapsed="false">
      <c r="A9" s="4"/>
    </row>
    <row r="10" customFormat="false" ht="15" hidden="false" customHeight="true" outlineLevel="0" collapsed="false">
      <c r="A10" s="5" t="s">
        <v>6</v>
      </c>
    </row>
    <row r="11" customFormat="false" ht="15" hidden="false" customHeight="true" outlineLevel="0" collapsed="false">
      <c r="A11" s="4" t="s">
        <v>7</v>
      </c>
    </row>
    <row r="12" customFormat="false" ht="15" hidden="false" customHeight="true" outlineLevel="0" collapsed="false">
      <c r="A12" s="4" t="s">
        <v>8</v>
      </c>
    </row>
    <row r="13" customFormat="false" ht="15" hidden="false" customHeight="true" outlineLevel="0" collapsed="false">
      <c r="A13" s="4" t="s">
        <v>9</v>
      </c>
    </row>
    <row r="14" customFormat="false" ht="15" hidden="false" customHeight="true" outlineLevel="0" collapsed="false">
      <c r="A14" s="4" t="s">
        <v>10</v>
      </c>
    </row>
    <row r="15" customFormat="false" ht="15" hidden="false" customHeight="true" outlineLevel="0" collapsed="false">
      <c r="A15" s="4" t="s">
        <v>11</v>
      </c>
    </row>
    <row r="16" customFormat="false" ht="15" hidden="false" customHeight="true" outlineLevel="0" collapsed="false">
      <c r="A16" s="4" t="s">
        <v>12</v>
      </c>
    </row>
    <row r="17" customFormat="false" ht="15" hidden="false" customHeight="true" outlineLevel="0" collapsed="false">
      <c r="A17" s="4" t="s">
        <v>13</v>
      </c>
    </row>
    <row r="18" customFormat="false" ht="15" hidden="false" customHeight="true" outlineLevel="0" collapsed="false">
      <c r="A18" s="4" t="s">
        <v>14</v>
      </c>
    </row>
    <row r="19" customFormat="false" ht="15" hidden="false" customHeight="true" outlineLevel="0" collapsed="false">
      <c r="A19" s="4" t="s">
        <v>15</v>
      </c>
    </row>
    <row r="20" customFormat="false" ht="15" hidden="false" customHeight="true" outlineLevel="0" collapsed="false">
      <c r="A20" s="4"/>
    </row>
    <row r="21" customFormat="false" ht="15" hidden="false" customHeight="true" outlineLevel="0" collapsed="false">
      <c r="A21" s="5" t="s">
        <v>16</v>
      </c>
    </row>
    <row r="22" customFormat="false" ht="15" hidden="false" customHeight="true" outlineLevel="0" collapsed="false">
      <c r="A22" s="4" t="s">
        <v>17</v>
      </c>
    </row>
    <row r="23" customFormat="false" ht="15" hidden="false" customHeight="true" outlineLevel="0" collapsed="false">
      <c r="A23" s="4" t="s">
        <v>18</v>
      </c>
    </row>
    <row r="24" customFormat="false" ht="15" hidden="false" customHeight="true" outlineLevel="0" collapsed="false">
      <c r="A24" s="4" t="s">
        <v>19</v>
      </c>
    </row>
    <row r="25" customFormat="false" ht="15" hidden="false" customHeight="true" outlineLevel="0" collapsed="false">
      <c r="A25" s="4"/>
    </row>
    <row r="26" customFormat="false" ht="15" hidden="false" customHeight="true" outlineLevel="0" collapsed="false">
      <c r="A26" s="5" t="s">
        <v>20</v>
      </c>
    </row>
    <row r="27" customFormat="false" ht="15" hidden="false" customHeight="true" outlineLevel="0" collapsed="false">
      <c r="A27" s="4" t="s">
        <v>21</v>
      </c>
    </row>
    <row r="28" customFormat="false" ht="15" hidden="false" customHeight="true" outlineLevel="0" collapsed="false">
      <c r="A28" s="4" t="s">
        <v>22</v>
      </c>
    </row>
    <row r="29" customFormat="false" ht="15" hidden="false" customHeight="true" outlineLevel="0" collapsed="false">
      <c r="A29" s="4"/>
    </row>
    <row r="30" customFormat="false" ht="15" hidden="false" customHeight="true" outlineLevel="0" collapsed="false">
      <c r="A30" s="4"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8"/>
    <col collapsed="false" customWidth="true" hidden="false" outlineLevel="0" max="3" min="3" style="1" width="50"/>
    <col collapsed="false" customWidth="true" hidden="false" outlineLevel="0" max="4" min="4" style="1" width="28"/>
  </cols>
  <sheetData>
    <row r="1" customFormat="false" ht="27.75" hidden="false" customHeight="true" outlineLevel="0" collapsed="false">
      <c r="A1" s="6" t="s">
        <v>24</v>
      </c>
      <c r="B1" s="6"/>
      <c r="C1" s="6"/>
      <c r="D1" s="6"/>
    </row>
    <row r="2" customFormat="false" ht="19.5" hidden="false" customHeight="true" outlineLevel="0" collapsed="false">
      <c r="A2" s="7" t="s">
        <v>25</v>
      </c>
      <c r="B2" s="7"/>
      <c r="C2" s="7"/>
      <c r="D2" s="7"/>
    </row>
    <row r="4" customFormat="false" ht="15" hidden="false" customHeight="true" outlineLevel="0" collapsed="false">
      <c r="A4" s="8" t="s">
        <v>26</v>
      </c>
      <c r="B4" s="8" t="s">
        <v>27</v>
      </c>
      <c r="C4" s="8" t="s">
        <v>28</v>
      </c>
      <c r="D4" s="8" t="s">
        <v>29</v>
      </c>
    </row>
    <row r="5" customFormat="false" ht="49.5" hidden="false" customHeight="true" outlineLevel="0" collapsed="false">
      <c r="A5" s="9" t="n">
        <v>1</v>
      </c>
      <c r="B5" s="10" t="s">
        <v>30</v>
      </c>
      <c r="C5" s="11" t="s">
        <v>31</v>
      </c>
      <c r="D5" s="11" t="s">
        <v>32</v>
      </c>
    </row>
    <row r="6" customFormat="false" ht="49.5" hidden="false" customHeight="true" outlineLevel="0" collapsed="false">
      <c r="A6" s="9" t="n">
        <v>2</v>
      </c>
      <c r="B6" s="12" t="s">
        <v>33</v>
      </c>
      <c r="C6" s="13" t="s">
        <v>34</v>
      </c>
      <c r="D6" s="11" t="s">
        <v>35</v>
      </c>
    </row>
    <row r="7" customFormat="false" ht="49.5" hidden="false" customHeight="true" outlineLevel="0" collapsed="false">
      <c r="A7" s="9" t="n">
        <v>3</v>
      </c>
      <c r="B7" s="12" t="s">
        <v>36</v>
      </c>
      <c r="C7" s="13" t="s">
        <v>37</v>
      </c>
      <c r="D7" s="11" t="s">
        <v>38</v>
      </c>
    </row>
    <row r="8" customFormat="false" ht="49.5" hidden="false" customHeight="true" outlineLevel="0" collapsed="false">
      <c r="A8" s="9" t="n">
        <v>4</v>
      </c>
      <c r="B8" s="12" t="s">
        <v>39</v>
      </c>
      <c r="C8" s="13" t="s">
        <v>40</v>
      </c>
      <c r="D8" s="11" t="s">
        <v>41</v>
      </c>
    </row>
    <row r="9" customFormat="false" ht="49.5" hidden="false" customHeight="true" outlineLevel="0" collapsed="false">
      <c r="A9" s="9" t="n">
        <v>5</v>
      </c>
      <c r="B9" s="12" t="s">
        <v>42</v>
      </c>
      <c r="C9" s="13" t="s">
        <v>43</v>
      </c>
      <c r="D9" s="11" t="s">
        <v>44</v>
      </c>
    </row>
    <row r="10" customFormat="false" ht="49.5" hidden="false" customHeight="true" outlineLevel="0" collapsed="false">
      <c r="A10" s="9" t="n">
        <v>6</v>
      </c>
      <c r="B10" s="12" t="s">
        <v>45</v>
      </c>
      <c r="C10" s="13" t="s">
        <v>46</v>
      </c>
      <c r="D10" s="11" t="s">
        <v>32</v>
      </c>
    </row>
    <row r="11" customFormat="false" ht="49.5" hidden="false" customHeight="true" outlineLevel="0" collapsed="false">
      <c r="A11" s="9" t="n">
        <v>7</v>
      </c>
      <c r="B11" s="12" t="s">
        <v>47</v>
      </c>
      <c r="C11" s="13" t="s">
        <v>48</v>
      </c>
      <c r="D11" s="11" t="s">
        <v>49</v>
      </c>
    </row>
    <row r="12" customFormat="false" ht="49.5" hidden="false" customHeight="true" outlineLevel="0" collapsed="false">
      <c r="A12" s="9" t="n">
        <v>8</v>
      </c>
      <c r="B12" s="12" t="s">
        <v>50</v>
      </c>
      <c r="C12" s="13" t="s">
        <v>51</v>
      </c>
      <c r="D12" s="11" t="s">
        <v>52</v>
      </c>
    </row>
    <row r="13" customFormat="false" ht="54.75" hidden="false" customHeight="true" outlineLevel="0" collapsed="false">
      <c r="A13" s="9" t="n">
        <v>9</v>
      </c>
      <c r="B13" s="12" t="s">
        <v>53</v>
      </c>
      <c r="C13" s="13" t="s">
        <v>54</v>
      </c>
      <c r="D13" s="11" t="s">
        <v>55</v>
      </c>
    </row>
    <row r="14" customFormat="false" ht="69.75" hidden="false" customHeight="true" outlineLevel="0" collapsed="false">
      <c r="A14" s="9" t="n">
        <v>10</v>
      </c>
      <c r="B14" s="12" t="s">
        <v>56</v>
      </c>
      <c r="C14" s="13" t="s">
        <v>57</v>
      </c>
      <c r="D14" s="11" t="s">
        <v>58</v>
      </c>
    </row>
    <row r="15" customFormat="false" ht="54.75" hidden="false" customHeight="true" outlineLevel="0" collapsed="false">
      <c r="A15" s="9" t="n">
        <v>11</v>
      </c>
      <c r="B15" s="12" t="s">
        <v>59</v>
      </c>
      <c r="C15" s="13" t="s">
        <v>60</v>
      </c>
      <c r="D15" s="11" t="s">
        <v>61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14"/>
    <col collapsed="false" customWidth="true" hidden="false" outlineLevel="0" max="4" min="4" style="1" width="55"/>
    <col collapsed="false" customWidth="true" hidden="false" outlineLevel="0" max="5" min="5" style="1" width="14"/>
  </cols>
  <sheetData>
    <row r="1" customFormat="false" ht="27.75" hidden="false" customHeight="true" outlineLevel="0" collapsed="false">
      <c r="A1" s="14" t="s">
        <v>62</v>
      </c>
      <c r="B1" s="14"/>
      <c r="C1" s="14"/>
      <c r="D1" s="14"/>
      <c r="E1" s="14"/>
    </row>
    <row r="2" customFormat="false" ht="19.5" hidden="false" customHeight="true" outlineLevel="0" collapsed="false">
      <c r="A2" s="7" t="s">
        <v>63</v>
      </c>
      <c r="B2" s="7"/>
      <c r="C2" s="7"/>
      <c r="D2" s="7"/>
      <c r="E2" s="7"/>
    </row>
    <row r="4" customFormat="false" ht="15" hidden="false" customHeight="true" outlineLevel="0" collapsed="false">
      <c r="A4" s="8" t="s">
        <v>64</v>
      </c>
      <c r="B4" s="8" t="s">
        <v>65</v>
      </c>
      <c r="C4" s="8" t="s">
        <v>66</v>
      </c>
      <c r="D4" s="8" t="s">
        <v>67</v>
      </c>
      <c r="E4" s="8" t="s">
        <v>68</v>
      </c>
    </row>
    <row r="5" customFormat="false" ht="42.75" hidden="false" customHeight="true" outlineLevel="0" collapsed="false">
      <c r="A5" s="15" t="s">
        <v>69</v>
      </c>
      <c r="B5" s="16" t="s">
        <v>70</v>
      </c>
      <c r="C5" s="17" t="s">
        <v>71</v>
      </c>
      <c r="D5" s="18" t="s">
        <v>72</v>
      </c>
      <c r="E5" s="19"/>
    </row>
    <row r="6" customFormat="false" ht="21.75" hidden="false" customHeight="true" outlineLevel="0" collapsed="false">
      <c r="A6" s="15" t="s">
        <v>69</v>
      </c>
      <c r="B6" s="16" t="s">
        <v>73</v>
      </c>
      <c r="C6" s="17" t="s">
        <v>71</v>
      </c>
      <c r="D6" s="18" t="s">
        <v>74</v>
      </c>
      <c r="E6" s="19" t="s">
        <v>75</v>
      </c>
    </row>
    <row r="7" customFormat="false" ht="23.25" hidden="false" customHeight="true" outlineLevel="0" collapsed="false">
      <c r="A7" s="15" t="s">
        <v>69</v>
      </c>
      <c r="B7" s="16" t="s">
        <v>76</v>
      </c>
      <c r="C7" s="17" t="s">
        <v>71</v>
      </c>
      <c r="D7" s="18" t="s">
        <v>77</v>
      </c>
      <c r="E7" s="19"/>
    </row>
    <row r="8" customFormat="false" ht="15" hidden="false" customHeight="true" outlineLevel="0" collapsed="false">
      <c r="A8" s="15" t="s">
        <v>69</v>
      </c>
      <c r="B8" s="16" t="s">
        <v>78</v>
      </c>
      <c r="C8" s="17" t="s">
        <v>71</v>
      </c>
      <c r="D8" s="18" t="s">
        <v>79</v>
      </c>
      <c r="E8" s="19"/>
    </row>
    <row r="9" customFormat="false" ht="21.75" hidden="false" customHeight="true" outlineLevel="0" collapsed="false">
      <c r="A9" s="15" t="s">
        <v>69</v>
      </c>
      <c r="B9" s="16" t="s">
        <v>80</v>
      </c>
      <c r="C9" s="17" t="s">
        <v>71</v>
      </c>
      <c r="D9" s="18" t="s">
        <v>81</v>
      </c>
      <c r="E9" s="19"/>
    </row>
    <row r="10" customFormat="false" ht="23.25" hidden="false" customHeight="true" outlineLevel="0" collapsed="false">
      <c r="A10" s="15" t="s">
        <v>69</v>
      </c>
      <c r="B10" s="16" t="s">
        <v>82</v>
      </c>
      <c r="C10" s="17" t="s">
        <v>71</v>
      </c>
      <c r="D10" s="18" t="s">
        <v>83</v>
      </c>
      <c r="E10" s="19"/>
    </row>
    <row r="11" customFormat="false" ht="21.75" hidden="false" customHeight="true" outlineLevel="0" collapsed="false">
      <c r="A11" s="15" t="s">
        <v>69</v>
      </c>
      <c r="B11" s="16" t="s">
        <v>84</v>
      </c>
      <c r="C11" s="17" t="s">
        <v>71</v>
      </c>
      <c r="D11" s="18" t="s">
        <v>85</v>
      </c>
      <c r="E11" s="19"/>
    </row>
    <row r="12" customFormat="false" ht="23.25" hidden="false" customHeight="true" outlineLevel="0" collapsed="false">
      <c r="A12" s="15" t="s">
        <v>69</v>
      </c>
      <c r="B12" s="16" t="s">
        <v>86</v>
      </c>
      <c r="C12" s="17" t="s">
        <v>71</v>
      </c>
      <c r="D12" s="18" t="s">
        <v>87</v>
      </c>
      <c r="E12" s="19"/>
    </row>
    <row r="13" customFormat="false" ht="23.25" hidden="false" customHeight="true" outlineLevel="0" collapsed="false">
      <c r="A13" s="15" t="s">
        <v>88</v>
      </c>
      <c r="B13" s="16" t="s">
        <v>89</v>
      </c>
      <c r="C13" s="20" t="s">
        <v>90</v>
      </c>
      <c r="D13" s="18" t="s">
        <v>91</v>
      </c>
      <c r="E13" s="19"/>
    </row>
    <row r="14" customFormat="false" ht="21.75" hidden="false" customHeight="true" outlineLevel="0" collapsed="false">
      <c r="A14" s="15" t="s">
        <v>88</v>
      </c>
      <c r="B14" s="16" t="s">
        <v>92</v>
      </c>
      <c r="C14" s="17" t="s">
        <v>71</v>
      </c>
      <c r="D14" s="18" t="s">
        <v>93</v>
      </c>
      <c r="E14" s="19"/>
    </row>
    <row r="15" customFormat="false" ht="23.25" hidden="false" customHeight="true" outlineLevel="0" collapsed="false">
      <c r="A15" s="15" t="s">
        <v>88</v>
      </c>
      <c r="B15" s="16" t="s">
        <v>94</v>
      </c>
      <c r="C15" s="17" t="s">
        <v>71</v>
      </c>
      <c r="D15" s="18" t="s">
        <v>95</v>
      </c>
      <c r="E15" s="19"/>
    </row>
    <row r="16" customFormat="false" ht="23.25" hidden="false" customHeight="true" outlineLevel="0" collapsed="false">
      <c r="A16" s="15" t="s">
        <v>88</v>
      </c>
      <c r="B16" s="16" t="s">
        <v>96</v>
      </c>
      <c r="C16" s="17" t="s">
        <v>71</v>
      </c>
      <c r="D16" s="18" t="s">
        <v>97</v>
      </c>
      <c r="E16" s="19"/>
    </row>
    <row r="17" customFormat="false" ht="21.75" hidden="false" customHeight="true" outlineLevel="0" collapsed="false">
      <c r="A17" s="15" t="s">
        <v>88</v>
      </c>
      <c r="B17" s="16" t="s">
        <v>98</v>
      </c>
      <c r="C17" s="17" t="s">
        <v>71</v>
      </c>
      <c r="D17" s="18" t="s">
        <v>99</v>
      </c>
      <c r="E17" s="19"/>
    </row>
    <row r="18" customFormat="false" ht="21.75" hidden="false" customHeight="true" outlineLevel="0" collapsed="false">
      <c r="A18" s="15" t="s">
        <v>88</v>
      </c>
      <c r="B18" s="16" t="s">
        <v>100</v>
      </c>
      <c r="C18" s="17" t="s">
        <v>71</v>
      </c>
      <c r="D18" s="18" t="s">
        <v>101</v>
      </c>
      <c r="E18" s="19"/>
    </row>
    <row r="19" customFormat="false" ht="23.25" hidden="false" customHeight="true" outlineLevel="0" collapsed="false">
      <c r="A19" s="15" t="s">
        <v>102</v>
      </c>
      <c r="B19" s="16" t="s">
        <v>103</v>
      </c>
      <c r="C19" s="20" t="s">
        <v>90</v>
      </c>
      <c r="D19" s="18" t="s">
        <v>104</v>
      </c>
      <c r="E19" s="19"/>
    </row>
    <row r="20" customFormat="false" ht="15" hidden="false" customHeight="true" outlineLevel="0" collapsed="false">
      <c r="A20" s="15" t="s">
        <v>102</v>
      </c>
      <c r="B20" s="16" t="s">
        <v>105</v>
      </c>
      <c r="C20" s="17" t="s">
        <v>71</v>
      </c>
      <c r="D20" s="18" t="s">
        <v>106</v>
      </c>
      <c r="E20" s="19"/>
    </row>
    <row r="21" customFormat="false" ht="23.25" hidden="false" customHeight="true" outlineLevel="0" collapsed="false">
      <c r="A21" s="15" t="s">
        <v>102</v>
      </c>
      <c r="B21" s="16" t="s">
        <v>107</v>
      </c>
      <c r="C21" s="17" t="s">
        <v>71</v>
      </c>
      <c r="D21" s="18" t="s">
        <v>108</v>
      </c>
      <c r="E21" s="19"/>
    </row>
    <row r="22" customFormat="false" ht="15" hidden="false" customHeight="true" outlineLevel="0" collapsed="false">
      <c r="A22" s="15" t="s">
        <v>102</v>
      </c>
      <c r="B22" s="16" t="s">
        <v>109</v>
      </c>
      <c r="C22" s="17" t="s">
        <v>71</v>
      </c>
      <c r="D22" s="18" t="s">
        <v>110</v>
      </c>
      <c r="E22" s="19"/>
    </row>
    <row r="23" customFormat="false" ht="23.25" hidden="false" customHeight="true" outlineLevel="0" collapsed="false">
      <c r="A23" s="15" t="s">
        <v>111</v>
      </c>
      <c r="B23" s="16" t="s">
        <v>98</v>
      </c>
      <c r="C23" s="21" t="s">
        <v>112</v>
      </c>
      <c r="D23" s="18"/>
      <c r="E23" s="19"/>
    </row>
    <row r="24" customFormat="false" ht="23.25" hidden="false" customHeight="true" outlineLevel="0" collapsed="false">
      <c r="A24" s="15" t="s">
        <v>111</v>
      </c>
      <c r="B24" s="16" t="s">
        <v>96</v>
      </c>
      <c r="C24" s="17" t="s">
        <v>71</v>
      </c>
      <c r="D24" s="18" t="s">
        <v>97</v>
      </c>
      <c r="E24" s="19"/>
    </row>
    <row r="25" customFormat="false" ht="23.25" hidden="false" customHeight="true" outlineLevel="0" collapsed="false">
      <c r="A25" s="15" t="s">
        <v>111</v>
      </c>
      <c r="B25" s="16" t="s">
        <v>113</v>
      </c>
      <c r="C25" s="17" t="s">
        <v>71</v>
      </c>
      <c r="D25" s="18" t="s">
        <v>114</v>
      </c>
      <c r="E25" s="19"/>
    </row>
    <row r="26" customFormat="false" ht="23.25" hidden="false" customHeight="true" outlineLevel="0" collapsed="false">
      <c r="A26" s="15" t="s">
        <v>111</v>
      </c>
      <c r="B26" s="16" t="s">
        <v>115</v>
      </c>
      <c r="C26" s="17" t="s">
        <v>71</v>
      </c>
      <c r="D26" s="18" t="s">
        <v>116</v>
      </c>
      <c r="E26" s="19"/>
    </row>
    <row r="27" customFormat="false" ht="23.25" hidden="false" customHeight="true" outlineLevel="0" collapsed="false">
      <c r="A27" s="15" t="s">
        <v>111</v>
      </c>
      <c r="B27" s="16" t="s">
        <v>117</v>
      </c>
      <c r="C27" s="17" t="s">
        <v>71</v>
      </c>
      <c r="D27" s="18" t="s">
        <v>118</v>
      </c>
      <c r="E27" s="19"/>
    </row>
    <row r="28" customFormat="false" ht="23.25" hidden="false" customHeight="true" outlineLevel="0" collapsed="false">
      <c r="A28" s="15" t="s">
        <v>119</v>
      </c>
      <c r="B28" s="16" t="s">
        <v>98</v>
      </c>
      <c r="C28" s="21" t="s">
        <v>112</v>
      </c>
      <c r="D28" s="18"/>
      <c r="E28" s="19"/>
    </row>
    <row r="29" customFormat="false" ht="21.75" hidden="false" customHeight="true" outlineLevel="0" collapsed="false">
      <c r="A29" s="15" t="s">
        <v>119</v>
      </c>
      <c r="B29" s="16" t="s">
        <v>120</v>
      </c>
      <c r="C29" s="20" t="s">
        <v>90</v>
      </c>
      <c r="D29" s="18" t="s">
        <v>121</v>
      </c>
      <c r="E29" s="19"/>
    </row>
    <row r="30" customFormat="false" ht="23.25" hidden="false" customHeight="true" outlineLevel="0" collapsed="false">
      <c r="A30" s="15" t="s">
        <v>119</v>
      </c>
      <c r="B30" s="16" t="s">
        <v>122</v>
      </c>
      <c r="C30" s="17" t="s">
        <v>71</v>
      </c>
      <c r="D30" s="18" t="s">
        <v>123</v>
      </c>
      <c r="E30" s="19"/>
    </row>
    <row r="31" customFormat="false" ht="23.25" hidden="false" customHeight="true" outlineLevel="0" collapsed="false">
      <c r="A31" s="15" t="s">
        <v>119</v>
      </c>
      <c r="B31" s="16" t="s">
        <v>76</v>
      </c>
      <c r="C31" s="17" t="s">
        <v>71</v>
      </c>
      <c r="D31" s="18" t="s">
        <v>77</v>
      </c>
      <c r="E31" s="19"/>
    </row>
    <row r="32" customFormat="false" ht="23.25" hidden="false" customHeight="true" outlineLevel="0" collapsed="false">
      <c r="A32" s="15" t="s">
        <v>119</v>
      </c>
      <c r="B32" s="16" t="s">
        <v>124</v>
      </c>
      <c r="C32" s="17" t="s">
        <v>71</v>
      </c>
      <c r="D32" s="18" t="s">
        <v>125</v>
      </c>
      <c r="E32" s="19"/>
    </row>
    <row r="33" customFormat="false" ht="15" hidden="false" customHeight="true" outlineLevel="0" collapsed="false">
      <c r="A33" s="15" t="s">
        <v>126</v>
      </c>
      <c r="B33" s="16" t="s">
        <v>127</v>
      </c>
      <c r="C33" s="17" t="s">
        <v>71</v>
      </c>
      <c r="D33" s="18" t="s">
        <v>128</v>
      </c>
      <c r="E33" s="19"/>
    </row>
    <row r="34" customFormat="false" ht="15" hidden="false" customHeight="true" outlineLevel="0" collapsed="false">
      <c r="A34" s="15" t="s">
        <v>126</v>
      </c>
      <c r="B34" s="16" t="s">
        <v>129</v>
      </c>
      <c r="C34" s="17" t="s">
        <v>71</v>
      </c>
      <c r="D34" s="18" t="s">
        <v>130</v>
      </c>
      <c r="E34" s="19"/>
    </row>
    <row r="35" customFormat="false" ht="15" hidden="false" customHeight="true" outlineLevel="0" collapsed="false">
      <c r="A35" s="15" t="s">
        <v>126</v>
      </c>
      <c r="B35" s="16" t="s">
        <v>131</v>
      </c>
      <c r="C35" s="17" t="s">
        <v>71</v>
      </c>
      <c r="D35" s="18" t="s">
        <v>132</v>
      </c>
      <c r="E35" s="19"/>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4" min="2" style="1" width="16"/>
    <col collapsed="false" customWidth="true" hidden="false" outlineLevel="0" max="5" min="5" style="1" width="18"/>
  </cols>
  <sheetData>
    <row r="1" customFormat="false" ht="17.25" hidden="false" customHeight="true" outlineLevel="0" collapsed="false">
      <c r="A1" s="22" t="s">
        <v>133</v>
      </c>
      <c r="B1" s="22"/>
      <c r="C1" s="22"/>
      <c r="D1" s="22"/>
      <c r="E1" s="22"/>
    </row>
    <row r="2" customFormat="false" ht="15" hidden="false" customHeight="true" outlineLevel="0" collapsed="false">
      <c r="A2" s="7" t="s">
        <v>134</v>
      </c>
      <c r="B2" s="7"/>
      <c r="C2" s="7"/>
      <c r="D2" s="7"/>
      <c r="E2" s="7"/>
    </row>
    <row r="4" customFormat="false" ht="15" hidden="false" customHeight="true" outlineLevel="0" collapsed="false">
      <c r="A4" s="23" t="s">
        <v>135</v>
      </c>
      <c r="B4" s="23" t="s">
        <v>71</v>
      </c>
      <c r="C4" s="23" t="s">
        <v>90</v>
      </c>
      <c r="D4" s="23" t="s">
        <v>136</v>
      </c>
      <c r="E4" s="23" t="s">
        <v>137</v>
      </c>
    </row>
    <row r="5" customFormat="false" ht="15" hidden="false" customHeight="true" outlineLevel="0" collapsed="false">
      <c r="A5" s="24" t="s">
        <v>138</v>
      </c>
      <c r="B5" s="25" t="n">
        <f aca="false">COUNTIF('Feature Tracker'!F3:F147,"Done")</f>
        <v>144</v>
      </c>
      <c r="C5" s="25" t="n">
        <f aca="false">COUNTIF('Feature Tracker'!F3:F147,"Partial")</f>
        <v>0</v>
      </c>
      <c r="D5" s="25" t="n">
        <f aca="false">COUNTIF('Feature Tracker'!F3:F147,"Not started")</f>
        <v>1</v>
      </c>
      <c r="E5" s="25" t="n">
        <f aca="false">SUM(B5:D5)</f>
        <v>145</v>
      </c>
    </row>
    <row r="6" customFormat="false" ht="15" hidden="false" customHeight="true" outlineLevel="0" collapsed="false">
      <c r="A6" s="24" t="s">
        <v>139</v>
      </c>
      <c r="B6" s="25" t="n">
        <f aca="false">COUNTIF('Feature Tracker'!G3:G147,"Done")</f>
        <v>127</v>
      </c>
      <c r="C6" s="25" t="n">
        <f aca="false">COUNTIF('Feature Tracker'!G3:G147,"Partial")</f>
        <v>18</v>
      </c>
      <c r="D6" s="25" t="n">
        <f aca="false">COUNTIF('Feature Tracker'!G3:G147,"Not started")</f>
        <v>0</v>
      </c>
      <c r="E6" s="25" t="n">
        <f aca="false">SUM(B6:D6)</f>
        <v>145</v>
      </c>
    </row>
    <row r="7" customFormat="false" ht="15" hidden="false" customHeight="true" outlineLevel="0" collapsed="false">
      <c r="A7" s="24" t="s">
        <v>140</v>
      </c>
      <c r="B7" s="25" t="n">
        <f aca="false">COUNTIF('Feature Tracker'!H3:H147,"Done")</f>
        <v>136</v>
      </c>
      <c r="C7" s="25" t="n">
        <f aca="false">COUNTIF('Feature Tracker'!H3:H147,"Partial")</f>
        <v>2</v>
      </c>
      <c r="D7" s="25" t="n">
        <f aca="false">COUNTIF('Feature Tracker'!H3:H147,"Not started")</f>
        <v>7</v>
      </c>
      <c r="E7" s="25" t="n">
        <f aca="false">SUM(B7:D7)</f>
        <v>145</v>
      </c>
    </row>
    <row r="9" customFormat="false" ht="15" hidden="false" customHeight="true" outlineLevel="0" collapsed="false">
      <c r="A9" s="26" t="s">
        <v>141</v>
      </c>
      <c r="B9" s="26" t="n">
        <f aca="false">COUNTA('Feature Tracker'!D3:D147)</f>
        <v>145</v>
      </c>
    </row>
    <row r="11" customFormat="false" ht="15" hidden="false" customHeight="true" outlineLevel="0" collapsed="false">
      <c r="A11" s="27" t="s">
        <v>142</v>
      </c>
    </row>
    <row r="12" customFormat="false" ht="23.25" hidden="false" customHeight="true" outlineLevel="0" collapsed="false">
      <c r="A12" s="28" t="s">
        <v>143</v>
      </c>
      <c r="B12" s="28" t="s">
        <v>144</v>
      </c>
      <c r="C12" s="28" t="s">
        <v>145</v>
      </c>
      <c r="D12" s="28" t="s">
        <v>146</v>
      </c>
      <c r="E12" s="28" t="s">
        <v>147</v>
      </c>
    </row>
    <row r="13" customFormat="false" ht="15" hidden="false" customHeight="true" outlineLevel="0" collapsed="false">
      <c r="A13" s="24" t="s">
        <v>148</v>
      </c>
      <c r="B13" s="25" t="n">
        <f aca="false">COUNTIF('Feature Tracker'!$B$3:$B$145,A13)</f>
        <v>25</v>
      </c>
      <c r="C13" s="25" t="n">
        <f aca="false">COUNTIFS('Feature Tracker'!$B$3:$B$145,A13,'Feature Tracker'!$G$3:$G$145,"Done")</f>
        <v>25</v>
      </c>
      <c r="D13" s="25" t="n">
        <f aca="false">COUNTIFS('Feature Tracker'!$B$3:$B$145,A13,'Feature Tracker'!$G$3:$G$145,"Partial")</f>
        <v>0</v>
      </c>
      <c r="E13" s="25" t="n">
        <f aca="false">COUNTIFS('Feature Tracker'!$B$3:$B$145,A13,'Feature Tracker'!$G$3:$G$145,"Not started")</f>
        <v>0</v>
      </c>
    </row>
    <row r="14" customFormat="false" ht="15" hidden="false" customHeight="true" outlineLevel="0" collapsed="false">
      <c r="A14" s="24" t="s">
        <v>149</v>
      </c>
      <c r="B14" s="25" t="n">
        <f aca="false">COUNTIF('Feature Tracker'!$B$3:$B$145,A14)</f>
        <v>16</v>
      </c>
      <c r="C14" s="25" t="n">
        <f aca="false">COUNTIFS('Feature Tracker'!$B$3:$B$145,A14,'Feature Tracker'!$G$3:$G$145,"Done")</f>
        <v>16</v>
      </c>
      <c r="D14" s="25" t="n">
        <f aca="false">COUNTIFS('Feature Tracker'!$B$3:$B$145,A14,'Feature Tracker'!$G$3:$G$145,"Partial")</f>
        <v>0</v>
      </c>
      <c r="E14" s="25" t="n">
        <f aca="false">COUNTIFS('Feature Tracker'!$B$3:$B$145,A14,'Feature Tracker'!$G$3:$G$145,"Not started")</f>
        <v>0</v>
      </c>
    </row>
    <row r="15" customFormat="false" ht="15" hidden="false" customHeight="true" outlineLevel="0" collapsed="false">
      <c r="A15" s="24" t="s">
        <v>150</v>
      </c>
      <c r="B15" s="25" t="n">
        <f aca="false">COUNTIF('Feature Tracker'!$B$3:$B$145,A15)</f>
        <v>9</v>
      </c>
      <c r="C15" s="25" t="n">
        <f aca="false">COUNTIFS('Feature Tracker'!$B$3:$B$145,A15,'Feature Tracker'!$G$3:$G$145,"Done")</f>
        <v>9</v>
      </c>
      <c r="D15" s="25" t="n">
        <f aca="false">COUNTIFS('Feature Tracker'!$B$3:$B$145,A15,'Feature Tracker'!$G$3:$G$145,"Partial")</f>
        <v>0</v>
      </c>
      <c r="E15" s="25" t="n">
        <f aca="false">COUNTIFS('Feature Tracker'!$B$3:$B$145,A15,'Feature Tracker'!$G$3:$G$145,"Not started")</f>
        <v>0</v>
      </c>
    </row>
    <row r="16" customFormat="false" ht="15" hidden="false" customHeight="true" outlineLevel="0" collapsed="false">
      <c r="A16" s="24" t="s">
        <v>151</v>
      </c>
      <c r="B16" s="25" t="n">
        <f aca="false">COUNTIF('Feature Tracker'!$B$3:$B$145,A16)</f>
        <v>9</v>
      </c>
      <c r="C16" s="25" t="n">
        <f aca="false">COUNTIFS('Feature Tracker'!$B$3:$B$145,A16,'Feature Tracker'!$G$3:$G$145,"Done")</f>
        <v>9</v>
      </c>
      <c r="D16" s="25" t="n">
        <f aca="false">COUNTIFS('Feature Tracker'!$B$3:$B$145,A16,'Feature Tracker'!$G$3:$G$145,"Partial")</f>
        <v>0</v>
      </c>
      <c r="E16" s="25" t="n">
        <f aca="false">COUNTIFS('Feature Tracker'!$B$3:$B$145,A16,'Feature Tracker'!$G$3:$G$145,"Not started")</f>
        <v>0</v>
      </c>
    </row>
    <row r="17" customFormat="false" ht="15" hidden="false" customHeight="true" outlineLevel="0" collapsed="false">
      <c r="A17" s="24" t="s">
        <v>152</v>
      </c>
      <c r="B17" s="25" t="n">
        <f aca="false">COUNTIF('Feature Tracker'!$B$3:$B$145,A17)</f>
        <v>4</v>
      </c>
      <c r="C17" s="25" t="n">
        <f aca="false">COUNTIFS('Feature Tracker'!$B$3:$B$145,A17,'Feature Tracker'!$G$3:$G$145,"Done")</f>
        <v>4</v>
      </c>
      <c r="D17" s="25" t="n">
        <f aca="false">COUNTIFS('Feature Tracker'!$B$3:$B$145,A17,'Feature Tracker'!$G$3:$G$145,"Partial")</f>
        <v>0</v>
      </c>
      <c r="E17" s="25" t="n">
        <f aca="false">COUNTIFS('Feature Tracker'!$B$3:$B$145,A17,'Feature Tracker'!$G$3:$G$145,"Not started")</f>
        <v>0</v>
      </c>
    </row>
    <row r="18" customFormat="false" ht="15" hidden="false" customHeight="true" outlineLevel="0" collapsed="false">
      <c r="A18" s="24" t="s">
        <v>153</v>
      </c>
      <c r="B18" s="25" t="n">
        <f aca="false">COUNTIF('Feature Tracker'!$B$3:$B$145,A18)</f>
        <v>18</v>
      </c>
      <c r="C18" s="25" t="n">
        <f aca="false">COUNTIFS('Feature Tracker'!$B$3:$B$145,A18,'Feature Tracker'!$G$3:$G$145,"Done")</f>
        <v>1</v>
      </c>
      <c r="D18" s="25" t="n">
        <f aca="false">COUNTIFS('Feature Tracker'!$B$3:$B$145,A18,'Feature Tracker'!$G$3:$G$145,"Partial")</f>
        <v>17</v>
      </c>
      <c r="E18" s="25" t="n">
        <f aca="false">COUNTIFS('Feature Tracker'!$B$3:$B$145,A18,'Feature Tracker'!$G$3:$G$145,"Not started")</f>
        <v>0</v>
      </c>
    </row>
    <row r="19" customFormat="false" ht="15" hidden="false" customHeight="true" outlineLevel="0" collapsed="false">
      <c r="A19" s="24" t="s">
        <v>154</v>
      </c>
      <c r="B19" s="25" t="n">
        <f aca="false">COUNTIF('Feature Tracker'!$B$3:$B$145,A19)</f>
        <v>17</v>
      </c>
      <c r="C19" s="25" t="n">
        <f aca="false">COUNTIFS('Feature Tracker'!$B$3:$B$145,A19,'Feature Tracker'!$G$3:$G$145,"Done")</f>
        <v>17</v>
      </c>
      <c r="D19" s="25" t="n">
        <f aca="false">COUNTIFS('Feature Tracker'!$B$3:$B$145,A19,'Feature Tracker'!$G$3:$G$145,"Partial")</f>
        <v>0</v>
      </c>
      <c r="E19" s="25" t="n">
        <f aca="false">COUNTIFS('Feature Tracker'!$B$3:$B$145,A19,'Feature Tracker'!$G$3:$G$145,"Not started")</f>
        <v>0</v>
      </c>
    </row>
    <row r="20" customFormat="false" ht="15" hidden="false" customHeight="true" outlineLevel="0" collapsed="false">
      <c r="A20" s="24" t="s">
        <v>155</v>
      </c>
      <c r="B20" s="25" t="n">
        <f aca="false">COUNTIF('Feature Tracker'!$B$3:$B$145,A20)</f>
        <v>7</v>
      </c>
      <c r="C20" s="25" t="n">
        <f aca="false">COUNTIFS('Feature Tracker'!$B$3:$B$145,A20,'Feature Tracker'!$G$3:$G$145,"Done")</f>
        <v>6</v>
      </c>
      <c r="D20" s="25" t="n">
        <f aca="false">COUNTIFS('Feature Tracker'!$B$3:$B$145,A20,'Feature Tracker'!$G$3:$G$145,"Partial")</f>
        <v>1</v>
      </c>
      <c r="E20" s="25" t="n">
        <f aca="false">COUNTIFS('Feature Tracker'!$B$3:$B$145,A20,'Feature Tracker'!$G$3:$G$145,"Not started")</f>
        <v>0</v>
      </c>
    </row>
    <row r="21" customFormat="false" ht="15" hidden="false" customHeight="true" outlineLevel="0" collapsed="false">
      <c r="A21" s="24" t="s">
        <v>156</v>
      </c>
      <c r="B21" s="25" t="n">
        <f aca="false">COUNTIF('Feature Tracker'!$B$3:$B$145,A21)</f>
        <v>7</v>
      </c>
      <c r="C21" s="25" t="n">
        <f aca="false">COUNTIFS('Feature Tracker'!$B$3:$B$145,A21,'Feature Tracker'!$G$3:$G$145,"Done")</f>
        <v>7</v>
      </c>
      <c r="D21" s="25" t="n">
        <f aca="false">COUNTIFS('Feature Tracker'!$B$3:$B$145,A21,'Feature Tracker'!$G$3:$G$145,"Partial")</f>
        <v>0</v>
      </c>
      <c r="E21" s="25" t="n">
        <f aca="false">COUNTIFS('Feature Tracker'!$B$3:$B$145,A21,'Feature Tracker'!$G$3:$G$145,"Not started")</f>
        <v>0</v>
      </c>
    </row>
    <row r="22" customFormat="false" ht="15" hidden="false" customHeight="true" outlineLevel="0" collapsed="false">
      <c r="A22" s="24" t="s">
        <v>157</v>
      </c>
      <c r="B22" s="25" t="n">
        <f aca="false">COUNTIF('Feature Tracker'!$B$3:$B$145,A22)</f>
        <v>10</v>
      </c>
      <c r="C22" s="25" t="n">
        <f aca="false">COUNTIFS('Feature Tracker'!$B$3:$B$145,A22,'Feature Tracker'!$G$3:$G$145,"Done")</f>
        <v>10</v>
      </c>
      <c r="D22" s="25" t="n">
        <f aca="false">COUNTIFS('Feature Tracker'!$B$3:$B$145,A22,'Feature Tracker'!$G$3:$G$145,"Partial")</f>
        <v>0</v>
      </c>
      <c r="E22" s="25" t="n">
        <f aca="false">COUNTIFS('Feature Tracker'!$B$3:$B$145,A22,'Feature Tracker'!$G$3:$G$145,"Not started")</f>
        <v>0</v>
      </c>
    </row>
    <row r="23" customFormat="false" ht="15" hidden="false" customHeight="true" outlineLevel="0" collapsed="false">
      <c r="A23" s="24" t="s">
        <v>158</v>
      </c>
      <c r="B23" s="25" t="n">
        <f aca="false">COUNTIF('Feature Tracker'!$B$3:$B$145,A23)</f>
        <v>11</v>
      </c>
      <c r="C23" s="25" t="n">
        <f aca="false">COUNTIFS('Feature Tracker'!$B$3:$B$145,A23,'Feature Tracker'!$G$3:$G$145,"Done")</f>
        <v>11</v>
      </c>
      <c r="D23" s="25" t="n">
        <f aca="false">COUNTIFS('Feature Tracker'!$B$3:$B$145,A23,'Feature Tracker'!$G$3:$G$145,"Partial")</f>
        <v>0</v>
      </c>
      <c r="E23" s="25" t="n">
        <f aca="false">COUNTIFS('Feature Tracker'!$B$3:$B$145,A23,'Feature Tracker'!$G$3:$G$145,"Not started")</f>
        <v>0</v>
      </c>
    </row>
    <row r="24" customFormat="false" ht="15" hidden="false" customHeight="true" outlineLevel="0" collapsed="false">
      <c r="A24" s="24" t="s">
        <v>159</v>
      </c>
      <c r="B24" s="25" t="n">
        <f aca="false">COUNTIF('Feature Tracker'!$B$3:$B$145,A24)</f>
        <v>4</v>
      </c>
      <c r="C24" s="25" t="n">
        <f aca="false">COUNTIFS('Feature Tracker'!$B$3:$B$145,A24,'Feature Tracker'!$G$3:$G$145,"Done")</f>
        <v>4</v>
      </c>
      <c r="D24" s="25" t="n">
        <f aca="false">COUNTIFS('Feature Tracker'!$B$3:$B$145,A24,'Feature Tracker'!$G$3:$G$145,"Partial")</f>
        <v>0</v>
      </c>
      <c r="E24" s="25" t="n">
        <f aca="false">COUNTIFS('Feature Tracker'!$B$3:$B$145,A24,'Feature Tracker'!$G$3:$G$145,"Not started")</f>
        <v>0</v>
      </c>
    </row>
    <row r="25" customFormat="false" ht="15" hidden="false" customHeight="true" outlineLevel="0" collapsed="false">
      <c r="A25" s="24" t="s">
        <v>160</v>
      </c>
      <c r="B25" s="25" t="n">
        <f aca="false">COUNTIF('Feature Tracker'!$B$3:$B$145,A25)</f>
        <v>2</v>
      </c>
      <c r="C25" s="25" t="n">
        <f aca="false">COUNTIFS('Feature Tracker'!$B$3:$B$145,A25,'Feature Tracker'!$G$3:$G$145,"Done")</f>
        <v>2</v>
      </c>
      <c r="D25" s="25" t="n">
        <f aca="false">COUNTIFS('Feature Tracker'!$B$3:$B$145,A25,'Feature Tracker'!$G$3:$G$145,"Partial")</f>
        <v>0</v>
      </c>
      <c r="E25" s="25" t="n">
        <f aca="false">COUNTIFS('Feature Tracker'!$B$3:$B$145,A25,'Feature Tracker'!$G$3:$G$145,"Not started")</f>
        <v>0</v>
      </c>
    </row>
    <row r="26" customFormat="false" ht="15" hidden="false" customHeight="true" outlineLevel="0" collapsed="false">
      <c r="A26" s="24" t="s">
        <v>161</v>
      </c>
      <c r="B26" s="25" t="n">
        <f aca="false">COUNTIF('Feature Tracker'!$B$3:$B$145,A26)</f>
        <v>4</v>
      </c>
      <c r="C26" s="25" t="n">
        <f aca="false">COUNTIFS('Feature Tracker'!$B$3:$B$145,A26,'Feature Tracker'!$G$3:$G$145,"Done")</f>
        <v>4</v>
      </c>
      <c r="D26" s="25" t="n">
        <f aca="false">COUNTIFS('Feature Tracker'!$B$3:$B$145,A26,'Feature Tracker'!$G$3:$G$145,"Partial")</f>
        <v>0</v>
      </c>
      <c r="E26" s="25" t="n">
        <f aca="false">COUNTIFS('Feature Tracker'!$B$3:$B$145,A26,'Feature Tracker'!$G$3:$G$145,"Not started")</f>
        <v>0</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18"/>
    <col collapsed="false" customWidth="true" hidden="false" outlineLevel="0" max="4" min="4" style="1" width="30"/>
    <col collapsed="false" customWidth="true" hidden="false" outlineLevel="0" max="5" min="5" style="1" width="48"/>
    <col collapsed="false" customWidth="true" hidden="false" outlineLevel="0" max="6" min="6" style="1" width="13"/>
    <col collapsed="false" customWidth="true" hidden="false" outlineLevel="0" max="7" min="7" style="1" width="14"/>
    <col collapsed="false" customWidth="true" hidden="false" outlineLevel="0" max="8" min="8" style="1" width="13"/>
    <col collapsed="false" customWidth="true" hidden="false" outlineLevel="0" max="9" min="9" style="1" width="46"/>
  </cols>
  <sheetData>
    <row r="1" customFormat="false" ht="15" hidden="false" customHeight="true" outlineLevel="0" collapsed="false">
      <c r="A1" s="29" t="s">
        <v>162</v>
      </c>
      <c r="B1" s="29"/>
      <c r="C1" s="29"/>
      <c r="D1" s="29"/>
      <c r="E1" s="29"/>
      <c r="F1" s="29"/>
      <c r="G1" s="29"/>
      <c r="H1" s="29"/>
      <c r="I1" s="29"/>
    </row>
    <row r="2" customFormat="false" ht="23.25" hidden="false" customHeight="true" outlineLevel="0" collapsed="false">
      <c r="A2" s="30" t="s">
        <v>26</v>
      </c>
      <c r="B2" s="30" t="s">
        <v>143</v>
      </c>
      <c r="C2" s="30" t="s">
        <v>163</v>
      </c>
      <c r="D2" s="30" t="s">
        <v>164</v>
      </c>
      <c r="E2" s="30" t="s">
        <v>165</v>
      </c>
      <c r="F2" s="30" t="s">
        <v>138</v>
      </c>
      <c r="G2" s="30" t="s">
        <v>139</v>
      </c>
      <c r="H2" s="30" t="s">
        <v>140</v>
      </c>
      <c r="I2" s="30" t="s">
        <v>166</v>
      </c>
    </row>
    <row r="3" customFormat="false" ht="23.25" hidden="false" customHeight="true" outlineLevel="0" collapsed="false">
      <c r="A3" s="16" t="n">
        <v>1</v>
      </c>
      <c r="B3" s="16" t="s">
        <v>148</v>
      </c>
      <c r="C3" s="16" t="s">
        <v>167</v>
      </c>
      <c r="D3" s="15" t="s">
        <v>168</v>
      </c>
      <c r="E3" s="16" t="s">
        <v>169</v>
      </c>
      <c r="F3" s="31" t="s">
        <v>71</v>
      </c>
      <c r="G3" s="31" t="s">
        <v>71</v>
      </c>
      <c r="H3" s="31" t="s">
        <v>71</v>
      </c>
      <c r="I3" s="32" t="s">
        <v>170</v>
      </c>
    </row>
    <row r="4" customFormat="false" ht="15" hidden="false" customHeight="true" outlineLevel="0" collapsed="false">
      <c r="A4" s="16" t="n">
        <v>2</v>
      </c>
      <c r="B4" s="16" t="s">
        <v>148</v>
      </c>
      <c r="C4" s="16" t="s">
        <v>167</v>
      </c>
      <c r="D4" s="15" t="s">
        <v>171</v>
      </c>
      <c r="E4" s="16" t="s">
        <v>172</v>
      </c>
      <c r="F4" s="31" t="s">
        <v>71</v>
      </c>
      <c r="G4" s="31" t="s">
        <v>71</v>
      </c>
      <c r="H4" s="31" t="s">
        <v>71</v>
      </c>
      <c r="I4" s="32" t="s">
        <v>173</v>
      </c>
    </row>
    <row r="5" customFormat="false" ht="15" hidden="false" customHeight="true" outlineLevel="0" collapsed="false">
      <c r="A5" s="16" t="n">
        <v>3</v>
      </c>
      <c r="B5" s="16" t="s">
        <v>148</v>
      </c>
      <c r="C5" s="16" t="s">
        <v>167</v>
      </c>
      <c r="D5" s="15" t="s">
        <v>174</v>
      </c>
      <c r="E5" s="16" t="s">
        <v>175</v>
      </c>
      <c r="F5" s="31" t="s">
        <v>71</v>
      </c>
      <c r="G5" s="31" t="s">
        <v>71</v>
      </c>
      <c r="H5" s="31" t="s">
        <v>71</v>
      </c>
      <c r="I5" s="32" t="s">
        <v>176</v>
      </c>
    </row>
    <row r="6" customFormat="false" ht="15" hidden="false" customHeight="true" outlineLevel="0" collapsed="false">
      <c r="A6" s="16" t="n">
        <v>4</v>
      </c>
      <c r="B6" s="16" t="s">
        <v>148</v>
      </c>
      <c r="C6" s="16" t="s">
        <v>167</v>
      </c>
      <c r="D6" s="15" t="s">
        <v>177</v>
      </c>
      <c r="E6" s="16" t="s">
        <v>178</v>
      </c>
      <c r="F6" s="31" t="s">
        <v>71</v>
      </c>
      <c r="G6" s="31" t="s">
        <v>71</v>
      </c>
      <c r="H6" s="31" t="s">
        <v>71</v>
      </c>
      <c r="I6" s="32" t="s">
        <v>179</v>
      </c>
    </row>
    <row r="7" customFormat="false" ht="23.25" hidden="false" customHeight="true" outlineLevel="0" collapsed="false">
      <c r="A7" s="16" t="n">
        <v>5</v>
      </c>
      <c r="B7" s="16" t="s">
        <v>148</v>
      </c>
      <c r="C7" s="16" t="s">
        <v>167</v>
      </c>
      <c r="D7" s="15" t="s">
        <v>180</v>
      </c>
      <c r="E7" s="16" t="s">
        <v>181</v>
      </c>
      <c r="F7" s="31" t="s">
        <v>71</v>
      </c>
      <c r="G7" s="31" t="s">
        <v>71</v>
      </c>
      <c r="H7" s="31" t="s">
        <v>71</v>
      </c>
      <c r="I7" s="32" t="s">
        <v>182</v>
      </c>
    </row>
    <row r="8" customFormat="false" ht="15" hidden="false" customHeight="true" outlineLevel="0" collapsed="false">
      <c r="A8" s="16" t="n">
        <v>6</v>
      </c>
      <c r="B8" s="16" t="s">
        <v>148</v>
      </c>
      <c r="C8" s="16" t="s">
        <v>167</v>
      </c>
      <c r="D8" s="15" t="s">
        <v>183</v>
      </c>
      <c r="E8" s="16" t="s">
        <v>184</v>
      </c>
      <c r="F8" s="31" t="s">
        <v>71</v>
      </c>
      <c r="G8" s="31" t="s">
        <v>71</v>
      </c>
      <c r="H8" s="31" t="s">
        <v>71</v>
      </c>
      <c r="I8" s="32" t="s">
        <v>185</v>
      </c>
    </row>
    <row r="9" customFormat="false" ht="15" hidden="false" customHeight="true" outlineLevel="0" collapsed="false">
      <c r="A9" s="16" t="n">
        <v>7</v>
      </c>
      <c r="B9" s="16" t="s">
        <v>148</v>
      </c>
      <c r="C9" s="16" t="s">
        <v>167</v>
      </c>
      <c r="D9" s="15" t="s">
        <v>186</v>
      </c>
      <c r="E9" s="16" t="s">
        <v>187</v>
      </c>
      <c r="F9" s="31" t="s">
        <v>71</v>
      </c>
      <c r="G9" s="31" t="s">
        <v>71</v>
      </c>
      <c r="H9" s="31" t="s">
        <v>71</v>
      </c>
      <c r="I9" s="32" t="s">
        <v>188</v>
      </c>
    </row>
    <row r="10" customFormat="false" ht="23.25" hidden="false" customHeight="true" outlineLevel="0" collapsed="false">
      <c r="A10" s="16" t="n">
        <v>8</v>
      </c>
      <c r="B10" s="16" t="s">
        <v>148</v>
      </c>
      <c r="C10" s="16" t="s">
        <v>167</v>
      </c>
      <c r="D10" s="15" t="s">
        <v>189</v>
      </c>
      <c r="E10" s="16" t="s">
        <v>190</v>
      </c>
      <c r="F10" s="31" t="s">
        <v>71</v>
      </c>
      <c r="G10" s="31" t="s">
        <v>71</v>
      </c>
      <c r="H10" s="31" t="s">
        <v>71</v>
      </c>
      <c r="I10" s="32" t="s">
        <v>191</v>
      </c>
    </row>
    <row r="11" customFormat="false" ht="15" hidden="false" customHeight="true" outlineLevel="0" collapsed="false">
      <c r="A11" s="16" t="n">
        <v>9</v>
      </c>
      <c r="B11" s="16" t="s">
        <v>148</v>
      </c>
      <c r="C11" s="16" t="s">
        <v>167</v>
      </c>
      <c r="D11" s="15" t="s">
        <v>192</v>
      </c>
      <c r="E11" s="16" t="s">
        <v>193</v>
      </c>
      <c r="F11" s="31" t="s">
        <v>71</v>
      </c>
      <c r="G11" s="31" t="s">
        <v>71</v>
      </c>
      <c r="H11" s="31" t="s">
        <v>71</v>
      </c>
      <c r="I11" s="32" t="s">
        <v>194</v>
      </c>
    </row>
    <row r="12" customFormat="false" ht="23.25" hidden="false" customHeight="true" outlineLevel="0" collapsed="false">
      <c r="A12" s="16" t="n">
        <v>10</v>
      </c>
      <c r="B12" s="16" t="s">
        <v>148</v>
      </c>
      <c r="C12" s="16" t="s">
        <v>167</v>
      </c>
      <c r="D12" s="15" t="s">
        <v>195</v>
      </c>
      <c r="E12" s="16" t="s">
        <v>196</v>
      </c>
      <c r="F12" s="31" t="s">
        <v>71</v>
      </c>
      <c r="G12" s="31" t="s">
        <v>71</v>
      </c>
      <c r="H12" s="31" t="s">
        <v>71</v>
      </c>
      <c r="I12" s="32" t="s">
        <v>197</v>
      </c>
    </row>
    <row r="13" customFormat="false" ht="23.25" hidden="false" customHeight="true" outlineLevel="0" collapsed="false">
      <c r="A13" s="16" t="n">
        <v>11</v>
      </c>
      <c r="B13" s="16" t="s">
        <v>148</v>
      </c>
      <c r="C13" s="16" t="s">
        <v>167</v>
      </c>
      <c r="D13" s="15" t="s">
        <v>198</v>
      </c>
      <c r="E13" s="16" t="s">
        <v>199</v>
      </c>
      <c r="F13" s="31" t="s">
        <v>71</v>
      </c>
      <c r="G13" s="31" t="s">
        <v>71</v>
      </c>
      <c r="H13" s="31" t="s">
        <v>71</v>
      </c>
      <c r="I13" s="32" t="s">
        <v>200</v>
      </c>
    </row>
    <row r="14" customFormat="false" ht="23.25" hidden="false" customHeight="true" outlineLevel="0" collapsed="false">
      <c r="A14" s="16" t="n">
        <v>12</v>
      </c>
      <c r="B14" s="16" t="s">
        <v>148</v>
      </c>
      <c r="C14" s="16" t="s">
        <v>167</v>
      </c>
      <c r="D14" s="15" t="s">
        <v>201</v>
      </c>
      <c r="E14" s="16" t="s">
        <v>202</v>
      </c>
      <c r="F14" s="31" t="s">
        <v>71</v>
      </c>
      <c r="G14" s="31" t="s">
        <v>71</v>
      </c>
      <c r="H14" s="31" t="s">
        <v>71</v>
      </c>
      <c r="I14" s="32" t="s">
        <v>203</v>
      </c>
    </row>
    <row r="15" customFormat="false" ht="23.25" hidden="false" customHeight="true" outlineLevel="0" collapsed="false">
      <c r="A15" s="16" t="n">
        <v>13</v>
      </c>
      <c r="B15" s="16" t="s">
        <v>148</v>
      </c>
      <c r="C15" s="16" t="s">
        <v>167</v>
      </c>
      <c r="D15" s="15" t="s">
        <v>204</v>
      </c>
      <c r="E15" s="16" t="s">
        <v>205</v>
      </c>
      <c r="F15" s="31" t="s">
        <v>71</v>
      </c>
      <c r="G15" s="31" t="s">
        <v>71</v>
      </c>
      <c r="H15" s="31" t="s">
        <v>71</v>
      </c>
      <c r="I15" s="32" t="s">
        <v>206</v>
      </c>
    </row>
    <row r="16" customFormat="false" ht="15" hidden="false" customHeight="true" outlineLevel="0" collapsed="false">
      <c r="A16" s="16" t="n">
        <v>14</v>
      </c>
      <c r="B16" s="16" t="s">
        <v>148</v>
      </c>
      <c r="C16" s="16" t="s">
        <v>207</v>
      </c>
      <c r="D16" s="15" t="s">
        <v>208</v>
      </c>
      <c r="E16" s="16" t="s">
        <v>209</v>
      </c>
      <c r="F16" s="31" t="s">
        <v>71</v>
      </c>
      <c r="G16" s="31" t="s">
        <v>71</v>
      </c>
      <c r="H16" s="31" t="s">
        <v>71</v>
      </c>
      <c r="I16" s="32" t="s">
        <v>210</v>
      </c>
    </row>
    <row r="17" customFormat="false" ht="15" hidden="false" customHeight="true" outlineLevel="0" collapsed="false">
      <c r="A17" s="16" t="n">
        <v>15</v>
      </c>
      <c r="B17" s="16" t="s">
        <v>148</v>
      </c>
      <c r="C17" s="16" t="s">
        <v>207</v>
      </c>
      <c r="D17" s="15" t="s">
        <v>211</v>
      </c>
      <c r="E17" s="16" t="s">
        <v>212</v>
      </c>
      <c r="F17" s="31" t="s">
        <v>71</v>
      </c>
      <c r="G17" s="31" t="s">
        <v>71</v>
      </c>
      <c r="H17" s="31" t="s">
        <v>71</v>
      </c>
      <c r="I17" s="32" t="s">
        <v>213</v>
      </c>
    </row>
    <row r="18" customFormat="false" ht="15" hidden="false" customHeight="true" outlineLevel="0" collapsed="false">
      <c r="A18" s="16" t="n">
        <v>16</v>
      </c>
      <c r="B18" s="16" t="s">
        <v>148</v>
      </c>
      <c r="C18" s="16" t="s">
        <v>214</v>
      </c>
      <c r="D18" s="15" t="s">
        <v>215</v>
      </c>
      <c r="E18" s="16" t="s">
        <v>216</v>
      </c>
      <c r="F18" s="31" t="s">
        <v>71</v>
      </c>
      <c r="G18" s="31" t="s">
        <v>71</v>
      </c>
      <c r="H18" s="31" t="s">
        <v>71</v>
      </c>
      <c r="I18" s="32" t="s">
        <v>217</v>
      </c>
    </row>
    <row r="19" customFormat="false" ht="15" hidden="false" customHeight="true" outlineLevel="0" collapsed="false">
      <c r="A19" s="16" t="n">
        <v>17</v>
      </c>
      <c r="B19" s="16" t="s">
        <v>148</v>
      </c>
      <c r="C19" s="16" t="s">
        <v>214</v>
      </c>
      <c r="D19" s="15" t="s">
        <v>218</v>
      </c>
      <c r="E19" s="16" t="s">
        <v>219</v>
      </c>
      <c r="F19" s="31" t="s">
        <v>71</v>
      </c>
      <c r="G19" s="31" t="s">
        <v>71</v>
      </c>
      <c r="H19" s="31" t="s">
        <v>71</v>
      </c>
      <c r="I19" s="32" t="s">
        <v>220</v>
      </c>
    </row>
    <row r="20" customFormat="false" ht="23.25" hidden="false" customHeight="true" outlineLevel="0" collapsed="false">
      <c r="A20" s="16" t="n">
        <v>18</v>
      </c>
      <c r="B20" s="16" t="s">
        <v>148</v>
      </c>
      <c r="C20" s="16" t="s">
        <v>214</v>
      </c>
      <c r="D20" s="15" t="s">
        <v>221</v>
      </c>
      <c r="E20" s="16" t="s">
        <v>222</v>
      </c>
      <c r="F20" s="31" t="s">
        <v>71</v>
      </c>
      <c r="G20" s="31" t="s">
        <v>71</v>
      </c>
      <c r="H20" s="31" t="s">
        <v>71</v>
      </c>
      <c r="I20" s="32" t="s">
        <v>223</v>
      </c>
    </row>
    <row r="21" customFormat="false" ht="23.25" hidden="false" customHeight="true" outlineLevel="0" collapsed="false">
      <c r="A21" s="16" t="n">
        <v>19</v>
      </c>
      <c r="B21" s="16" t="s">
        <v>148</v>
      </c>
      <c r="C21" s="16" t="s">
        <v>214</v>
      </c>
      <c r="D21" s="15" t="s">
        <v>224</v>
      </c>
      <c r="E21" s="16" t="s">
        <v>225</v>
      </c>
      <c r="F21" s="31" t="s">
        <v>71</v>
      </c>
      <c r="G21" s="31" t="s">
        <v>71</v>
      </c>
      <c r="H21" s="31" t="s">
        <v>71</v>
      </c>
      <c r="I21" s="32" t="s">
        <v>226</v>
      </c>
    </row>
    <row r="22" customFormat="false" ht="15" hidden="false" customHeight="true" outlineLevel="0" collapsed="false">
      <c r="A22" s="16" t="n">
        <v>20</v>
      </c>
      <c r="B22" s="16" t="s">
        <v>148</v>
      </c>
      <c r="C22" s="16" t="s">
        <v>214</v>
      </c>
      <c r="D22" s="15" t="s">
        <v>227</v>
      </c>
      <c r="E22" s="16" t="s">
        <v>228</v>
      </c>
      <c r="F22" s="31" t="s">
        <v>71</v>
      </c>
      <c r="G22" s="31" t="s">
        <v>71</v>
      </c>
      <c r="H22" s="31" t="s">
        <v>71</v>
      </c>
      <c r="I22" s="32" t="s">
        <v>229</v>
      </c>
    </row>
    <row r="23" customFormat="false" ht="23.25" hidden="false" customHeight="true" outlineLevel="0" collapsed="false">
      <c r="A23" s="16" t="n">
        <v>21</v>
      </c>
      <c r="B23" s="16" t="s">
        <v>148</v>
      </c>
      <c r="C23" s="16" t="s">
        <v>214</v>
      </c>
      <c r="D23" s="15" t="s">
        <v>230</v>
      </c>
      <c r="E23" s="16" t="s">
        <v>231</v>
      </c>
      <c r="F23" s="31" t="s">
        <v>71</v>
      </c>
      <c r="G23" s="31" t="s">
        <v>71</v>
      </c>
      <c r="H23" s="31" t="s">
        <v>71</v>
      </c>
      <c r="I23" s="32" t="s">
        <v>232</v>
      </c>
    </row>
    <row r="24" customFormat="false" ht="32.25" hidden="false" customHeight="true" outlineLevel="0" collapsed="false">
      <c r="A24" s="16" t="n">
        <v>22</v>
      </c>
      <c r="B24" s="16" t="s">
        <v>148</v>
      </c>
      <c r="C24" s="16" t="s">
        <v>214</v>
      </c>
      <c r="D24" s="15" t="s">
        <v>233</v>
      </c>
      <c r="E24" s="16" t="s">
        <v>234</v>
      </c>
      <c r="F24" s="31" t="s">
        <v>71</v>
      </c>
      <c r="G24" s="31" t="s">
        <v>71</v>
      </c>
      <c r="H24" s="31" t="s">
        <v>71</v>
      </c>
      <c r="I24" s="32" t="s">
        <v>235</v>
      </c>
    </row>
    <row r="25" customFormat="false" ht="23.25" hidden="false" customHeight="true" outlineLevel="0" collapsed="false">
      <c r="A25" s="16" t="n">
        <v>23</v>
      </c>
      <c r="B25" s="16" t="s">
        <v>148</v>
      </c>
      <c r="C25" s="16" t="s">
        <v>214</v>
      </c>
      <c r="D25" s="15" t="s">
        <v>236</v>
      </c>
      <c r="E25" s="16" t="s">
        <v>237</v>
      </c>
      <c r="F25" s="31" t="s">
        <v>71</v>
      </c>
      <c r="G25" s="31" t="s">
        <v>71</v>
      </c>
      <c r="H25" s="31" t="s">
        <v>71</v>
      </c>
      <c r="I25" s="32" t="s">
        <v>238</v>
      </c>
    </row>
    <row r="26" customFormat="false" ht="23.25" hidden="false" customHeight="true" outlineLevel="0" collapsed="false">
      <c r="A26" s="16" t="n">
        <v>24</v>
      </c>
      <c r="B26" s="16" t="s">
        <v>148</v>
      </c>
      <c r="C26" s="16" t="s">
        <v>214</v>
      </c>
      <c r="D26" s="15" t="s">
        <v>239</v>
      </c>
      <c r="E26" s="16" t="s">
        <v>240</v>
      </c>
      <c r="F26" s="31" t="s">
        <v>71</v>
      </c>
      <c r="G26" s="31" t="s">
        <v>71</v>
      </c>
      <c r="H26" s="31" t="s">
        <v>71</v>
      </c>
      <c r="I26" s="32" t="s">
        <v>241</v>
      </c>
    </row>
    <row r="27" customFormat="false" ht="15" hidden="false" customHeight="true" outlineLevel="0" collapsed="false">
      <c r="A27" s="16" t="n">
        <v>25</v>
      </c>
      <c r="B27" s="16" t="s">
        <v>148</v>
      </c>
      <c r="C27" s="16" t="s">
        <v>161</v>
      </c>
      <c r="D27" s="15" t="s">
        <v>242</v>
      </c>
      <c r="E27" s="16" t="s">
        <v>243</v>
      </c>
      <c r="F27" s="31" t="s">
        <v>71</v>
      </c>
      <c r="G27" s="31" t="s">
        <v>71</v>
      </c>
      <c r="H27" s="31" t="s">
        <v>71</v>
      </c>
      <c r="I27" s="32" t="s">
        <v>244</v>
      </c>
    </row>
    <row r="28" customFormat="false" ht="32.25" hidden="false" customHeight="true" outlineLevel="0" collapsed="false">
      <c r="A28" s="16" t="n">
        <v>26</v>
      </c>
      <c r="B28" s="16" t="s">
        <v>149</v>
      </c>
      <c r="C28" s="16" t="s">
        <v>245</v>
      </c>
      <c r="D28" s="15" t="s">
        <v>246</v>
      </c>
      <c r="E28" s="16" t="s">
        <v>247</v>
      </c>
      <c r="F28" s="31" t="s">
        <v>71</v>
      </c>
      <c r="G28" s="31" t="s">
        <v>71</v>
      </c>
      <c r="H28" s="31" t="s">
        <v>71</v>
      </c>
      <c r="I28" s="32" t="s">
        <v>248</v>
      </c>
    </row>
    <row r="29" customFormat="false" ht="23.25" hidden="false" customHeight="true" outlineLevel="0" collapsed="false">
      <c r="A29" s="16" t="n">
        <v>27</v>
      </c>
      <c r="B29" s="16" t="s">
        <v>149</v>
      </c>
      <c r="C29" s="16" t="s">
        <v>245</v>
      </c>
      <c r="D29" s="15" t="s">
        <v>249</v>
      </c>
      <c r="E29" s="16" t="s">
        <v>250</v>
      </c>
      <c r="F29" s="31" t="s">
        <v>71</v>
      </c>
      <c r="G29" s="31" t="s">
        <v>71</v>
      </c>
      <c r="H29" s="31" t="s">
        <v>71</v>
      </c>
      <c r="I29" s="32" t="s">
        <v>251</v>
      </c>
    </row>
    <row r="30" customFormat="false" ht="15" hidden="false" customHeight="true" outlineLevel="0" collapsed="false">
      <c r="A30" s="16" t="n">
        <v>28</v>
      </c>
      <c r="B30" s="16" t="s">
        <v>149</v>
      </c>
      <c r="C30" s="16" t="s">
        <v>252</v>
      </c>
      <c r="D30" s="15" t="s">
        <v>253</v>
      </c>
      <c r="E30" s="16" t="s">
        <v>254</v>
      </c>
      <c r="F30" s="31" t="s">
        <v>71</v>
      </c>
      <c r="G30" s="31" t="s">
        <v>71</v>
      </c>
      <c r="H30" s="31" t="s">
        <v>71</v>
      </c>
      <c r="I30" s="32" t="s">
        <v>255</v>
      </c>
    </row>
    <row r="31" customFormat="false" ht="15" hidden="false" customHeight="true" outlineLevel="0" collapsed="false">
      <c r="A31" s="16" t="n">
        <v>29</v>
      </c>
      <c r="B31" s="16" t="s">
        <v>149</v>
      </c>
      <c r="C31" s="16" t="s">
        <v>252</v>
      </c>
      <c r="D31" s="15" t="s">
        <v>256</v>
      </c>
      <c r="E31" s="16" t="s">
        <v>257</v>
      </c>
      <c r="F31" s="31" t="s">
        <v>71</v>
      </c>
      <c r="G31" s="31" t="s">
        <v>71</v>
      </c>
      <c r="H31" s="31" t="s">
        <v>71</v>
      </c>
      <c r="I31" s="32" t="s">
        <v>258</v>
      </c>
    </row>
    <row r="32" customFormat="false" ht="21.75" hidden="false" customHeight="true" outlineLevel="0" collapsed="false">
      <c r="A32" s="16" t="n">
        <v>30</v>
      </c>
      <c r="B32" s="16" t="s">
        <v>149</v>
      </c>
      <c r="C32" s="16" t="s">
        <v>252</v>
      </c>
      <c r="D32" s="15" t="s">
        <v>259</v>
      </c>
      <c r="E32" s="16" t="s">
        <v>260</v>
      </c>
      <c r="F32" s="31" t="s">
        <v>71</v>
      </c>
      <c r="G32" s="31" t="s">
        <v>71</v>
      </c>
      <c r="H32" s="31" t="s">
        <v>71</v>
      </c>
      <c r="I32" s="32" t="s">
        <v>261</v>
      </c>
    </row>
    <row r="33" customFormat="false" ht="15" hidden="false" customHeight="true" outlineLevel="0" collapsed="false">
      <c r="A33" s="16" t="n">
        <v>31</v>
      </c>
      <c r="B33" s="16" t="s">
        <v>149</v>
      </c>
      <c r="C33" s="16" t="s">
        <v>262</v>
      </c>
      <c r="D33" s="15" t="s">
        <v>263</v>
      </c>
      <c r="E33" s="16" t="s">
        <v>264</v>
      </c>
      <c r="F33" s="31" t="s">
        <v>71</v>
      </c>
      <c r="G33" s="31" t="s">
        <v>71</v>
      </c>
      <c r="H33" s="31" t="s">
        <v>71</v>
      </c>
      <c r="I33" s="32" t="s">
        <v>265</v>
      </c>
    </row>
    <row r="34" customFormat="false" ht="15" hidden="false" customHeight="true" outlineLevel="0" collapsed="false">
      <c r="A34" s="16" t="n">
        <v>32</v>
      </c>
      <c r="B34" s="16" t="s">
        <v>149</v>
      </c>
      <c r="C34" s="16" t="s">
        <v>262</v>
      </c>
      <c r="D34" s="15" t="s">
        <v>266</v>
      </c>
      <c r="E34" s="16" t="s">
        <v>267</v>
      </c>
      <c r="F34" s="31" t="s">
        <v>71</v>
      </c>
      <c r="G34" s="31" t="s">
        <v>71</v>
      </c>
      <c r="H34" s="31" t="s">
        <v>71</v>
      </c>
      <c r="I34" s="32" t="s">
        <v>268</v>
      </c>
    </row>
    <row r="35" customFormat="false" ht="23.25" hidden="false" customHeight="true" outlineLevel="0" collapsed="false">
      <c r="A35" s="16" t="n">
        <v>33</v>
      </c>
      <c r="B35" s="16" t="s">
        <v>149</v>
      </c>
      <c r="C35" s="16" t="s">
        <v>262</v>
      </c>
      <c r="D35" s="15" t="s">
        <v>269</v>
      </c>
      <c r="E35" s="16" t="s">
        <v>270</v>
      </c>
      <c r="F35" s="31" t="s">
        <v>71</v>
      </c>
      <c r="G35" s="31" t="s">
        <v>71</v>
      </c>
      <c r="H35" s="31" t="s">
        <v>71</v>
      </c>
      <c r="I35" s="32" t="s">
        <v>271</v>
      </c>
    </row>
    <row r="36" customFormat="false" ht="23.25" hidden="false" customHeight="true" outlineLevel="0" collapsed="false">
      <c r="A36" s="16" t="n">
        <v>34</v>
      </c>
      <c r="B36" s="16" t="s">
        <v>149</v>
      </c>
      <c r="C36" s="16" t="s">
        <v>262</v>
      </c>
      <c r="D36" s="15" t="s">
        <v>272</v>
      </c>
      <c r="E36" s="16" t="s">
        <v>273</v>
      </c>
      <c r="F36" s="31" t="s">
        <v>71</v>
      </c>
      <c r="G36" s="31" t="s">
        <v>71</v>
      </c>
      <c r="H36" s="31" t="s">
        <v>71</v>
      </c>
      <c r="I36" s="32" t="s">
        <v>274</v>
      </c>
    </row>
    <row r="37" customFormat="false" ht="15" hidden="false" customHeight="true" outlineLevel="0" collapsed="false">
      <c r="A37" s="16" t="n">
        <v>35</v>
      </c>
      <c r="B37" s="16" t="s">
        <v>149</v>
      </c>
      <c r="C37" s="16" t="s">
        <v>275</v>
      </c>
      <c r="D37" s="15" t="s">
        <v>276</v>
      </c>
      <c r="E37" s="16" t="s">
        <v>277</v>
      </c>
      <c r="F37" s="31" t="s">
        <v>71</v>
      </c>
      <c r="G37" s="31" t="s">
        <v>71</v>
      </c>
      <c r="H37" s="31" t="s">
        <v>71</v>
      </c>
      <c r="I37" s="32" t="s">
        <v>278</v>
      </c>
    </row>
    <row r="38" customFormat="false" ht="23.25" hidden="false" customHeight="true" outlineLevel="0" collapsed="false">
      <c r="A38" s="16" t="n">
        <v>36</v>
      </c>
      <c r="B38" s="16" t="s">
        <v>149</v>
      </c>
      <c r="C38" s="16" t="s">
        <v>279</v>
      </c>
      <c r="D38" s="15" t="s">
        <v>280</v>
      </c>
      <c r="E38" s="16" t="s">
        <v>281</v>
      </c>
      <c r="F38" s="31" t="s">
        <v>71</v>
      </c>
      <c r="G38" s="31" t="s">
        <v>71</v>
      </c>
      <c r="H38" s="31" t="s">
        <v>71</v>
      </c>
      <c r="I38" s="32" t="s">
        <v>282</v>
      </c>
    </row>
    <row r="39" customFormat="false" ht="15" hidden="false" customHeight="true" outlineLevel="0" collapsed="false">
      <c r="A39" s="16" t="n">
        <v>37</v>
      </c>
      <c r="B39" s="16" t="s">
        <v>149</v>
      </c>
      <c r="C39" s="16" t="s">
        <v>279</v>
      </c>
      <c r="D39" s="15" t="s">
        <v>283</v>
      </c>
      <c r="E39" s="16" t="s">
        <v>284</v>
      </c>
      <c r="F39" s="31" t="s">
        <v>71</v>
      </c>
      <c r="G39" s="31" t="s">
        <v>71</v>
      </c>
      <c r="H39" s="31" t="s">
        <v>71</v>
      </c>
      <c r="I39" s="32" t="s">
        <v>285</v>
      </c>
    </row>
    <row r="40" customFormat="false" ht="15" hidden="false" customHeight="true" outlineLevel="0" collapsed="false">
      <c r="A40" s="16" t="n">
        <v>38</v>
      </c>
      <c r="B40" s="16" t="s">
        <v>149</v>
      </c>
      <c r="C40" s="16" t="s">
        <v>286</v>
      </c>
      <c r="D40" s="15" t="s">
        <v>287</v>
      </c>
      <c r="E40" s="16" t="s">
        <v>288</v>
      </c>
      <c r="F40" s="31" t="s">
        <v>71</v>
      </c>
      <c r="G40" s="31" t="s">
        <v>71</v>
      </c>
      <c r="H40" s="31" t="s">
        <v>71</v>
      </c>
      <c r="I40" s="32" t="s">
        <v>289</v>
      </c>
    </row>
    <row r="41" customFormat="false" ht="15" hidden="false" customHeight="true" outlineLevel="0" collapsed="false">
      <c r="A41" s="16" t="n">
        <v>39</v>
      </c>
      <c r="B41" s="16" t="s">
        <v>149</v>
      </c>
      <c r="C41" s="16" t="s">
        <v>286</v>
      </c>
      <c r="D41" s="15" t="s">
        <v>290</v>
      </c>
      <c r="E41" s="16" t="s">
        <v>291</v>
      </c>
      <c r="F41" s="31" t="s">
        <v>71</v>
      </c>
      <c r="G41" s="31" t="s">
        <v>71</v>
      </c>
      <c r="H41" s="31" t="s">
        <v>71</v>
      </c>
      <c r="I41" s="32" t="s">
        <v>292</v>
      </c>
    </row>
    <row r="42" customFormat="false" ht="23.25" hidden="false" customHeight="true" outlineLevel="0" collapsed="false">
      <c r="A42" s="16" t="n">
        <v>40</v>
      </c>
      <c r="B42" s="16" t="s">
        <v>149</v>
      </c>
      <c r="C42" s="16" t="s">
        <v>286</v>
      </c>
      <c r="D42" s="15" t="s">
        <v>293</v>
      </c>
      <c r="E42" s="16" t="s">
        <v>294</v>
      </c>
      <c r="F42" s="31" t="s">
        <v>71</v>
      </c>
      <c r="G42" s="31" t="s">
        <v>71</v>
      </c>
      <c r="H42" s="31" t="s">
        <v>71</v>
      </c>
      <c r="I42" s="32" t="s">
        <v>295</v>
      </c>
    </row>
    <row r="43" customFormat="false" ht="15" hidden="false" customHeight="true" outlineLevel="0" collapsed="false">
      <c r="A43" s="16" t="n">
        <v>41</v>
      </c>
      <c r="B43" s="16" t="s">
        <v>149</v>
      </c>
      <c r="C43" s="16" t="s">
        <v>296</v>
      </c>
      <c r="D43" s="15" t="s">
        <v>297</v>
      </c>
      <c r="E43" s="16" t="s">
        <v>298</v>
      </c>
      <c r="F43" s="31" t="s">
        <v>71</v>
      </c>
      <c r="G43" s="31" t="s">
        <v>71</v>
      </c>
      <c r="H43" s="31" t="s">
        <v>71</v>
      </c>
      <c r="I43" s="32" t="s">
        <v>299</v>
      </c>
    </row>
    <row r="44" customFormat="false" ht="15" hidden="false" customHeight="true" outlineLevel="0" collapsed="false">
      <c r="A44" s="16" t="n">
        <v>42</v>
      </c>
      <c r="B44" s="16" t="s">
        <v>150</v>
      </c>
      <c r="C44" s="16" t="s">
        <v>245</v>
      </c>
      <c r="D44" s="15" t="s">
        <v>300</v>
      </c>
      <c r="E44" s="16" t="s">
        <v>301</v>
      </c>
      <c r="F44" s="31" t="s">
        <v>71</v>
      </c>
      <c r="G44" s="31" t="s">
        <v>71</v>
      </c>
      <c r="H44" s="31" t="s">
        <v>71</v>
      </c>
      <c r="I44" s="32" t="s">
        <v>302</v>
      </c>
    </row>
    <row r="45" customFormat="false" ht="15" hidden="false" customHeight="true" outlineLevel="0" collapsed="false">
      <c r="A45" s="16" t="n">
        <v>43</v>
      </c>
      <c r="B45" s="16" t="s">
        <v>150</v>
      </c>
      <c r="C45" s="16" t="s">
        <v>303</v>
      </c>
      <c r="D45" s="15" t="s">
        <v>304</v>
      </c>
      <c r="E45" s="16" t="s">
        <v>305</v>
      </c>
      <c r="F45" s="31" t="s">
        <v>71</v>
      </c>
      <c r="G45" s="31" t="s">
        <v>71</v>
      </c>
      <c r="H45" s="31" t="s">
        <v>71</v>
      </c>
      <c r="I45" s="32" t="s">
        <v>306</v>
      </c>
    </row>
    <row r="46" customFormat="false" ht="15" hidden="false" customHeight="true" outlineLevel="0" collapsed="false">
      <c r="A46" s="16" t="n">
        <v>44</v>
      </c>
      <c r="B46" s="16" t="s">
        <v>150</v>
      </c>
      <c r="C46" s="16" t="s">
        <v>303</v>
      </c>
      <c r="D46" s="15" t="s">
        <v>307</v>
      </c>
      <c r="E46" s="16" t="s">
        <v>308</v>
      </c>
      <c r="F46" s="31" t="s">
        <v>71</v>
      </c>
      <c r="G46" s="31" t="s">
        <v>71</v>
      </c>
      <c r="H46" s="31" t="s">
        <v>71</v>
      </c>
      <c r="I46" s="32" t="s">
        <v>309</v>
      </c>
    </row>
    <row r="47" customFormat="false" ht="15" hidden="false" customHeight="true" outlineLevel="0" collapsed="false">
      <c r="A47" s="16" t="n">
        <v>45</v>
      </c>
      <c r="B47" s="16" t="s">
        <v>150</v>
      </c>
      <c r="C47" s="16" t="s">
        <v>303</v>
      </c>
      <c r="D47" s="15" t="s">
        <v>310</v>
      </c>
      <c r="E47" s="16" t="s">
        <v>311</v>
      </c>
      <c r="F47" s="31" t="s">
        <v>71</v>
      </c>
      <c r="G47" s="31" t="s">
        <v>71</v>
      </c>
      <c r="H47" s="31" t="s">
        <v>71</v>
      </c>
      <c r="I47" s="32" t="s">
        <v>312</v>
      </c>
    </row>
    <row r="48" customFormat="false" ht="15" hidden="false" customHeight="true" outlineLevel="0" collapsed="false">
      <c r="A48" s="16" t="n">
        <v>46</v>
      </c>
      <c r="B48" s="16" t="s">
        <v>150</v>
      </c>
      <c r="C48" s="16" t="s">
        <v>303</v>
      </c>
      <c r="D48" s="15" t="s">
        <v>313</v>
      </c>
      <c r="E48" s="16" t="s">
        <v>314</v>
      </c>
      <c r="F48" s="31" t="s">
        <v>71</v>
      </c>
      <c r="G48" s="31" t="s">
        <v>71</v>
      </c>
      <c r="H48" s="31" t="s">
        <v>71</v>
      </c>
      <c r="I48" s="32" t="s">
        <v>315</v>
      </c>
    </row>
    <row r="49" customFormat="false" ht="15" hidden="false" customHeight="true" outlineLevel="0" collapsed="false">
      <c r="A49" s="16" t="n">
        <v>47</v>
      </c>
      <c r="B49" s="16" t="s">
        <v>150</v>
      </c>
      <c r="C49" s="16" t="s">
        <v>214</v>
      </c>
      <c r="D49" s="15" t="s">
        <v>316</v>
      </c>
      <c r="E49" s="16" t="s">
        <v>317</v>
      </c>
      <c r="F49" s="31" t="s">
        <v>71</v>
      </c>
      <c r="G49" s="31" t="s">
        <v>71</v>
      </c>
      <c r="H49" s="31" t="s">
        <v>71</v>
      </c>
      <c r="I49" s="32" t="s">
        <v>318</v>
      </c>
    </row>
    <row r="50" customFormat="false" ht="15" hidden="false" customHeight="true" outlineLevel="0" collapsed="false">
      <c r="A50" s="16" t="n">
        <v>48</v>
      </c>
      <c r="B50" s="16" t="s">
        <v>150</v>
      </c>
      <c r="C50" s="16" t="s">
        <v>319</v>
      </c>
      <c r="D50" s="15" t="s">
        <v>320</v>
      </c>
      <c r="E50" s="16" t="s">
        <v>321</v>
      </c>
      <c r="F50" s="31" t="s">
        <v>71</v>
      </c>
      <c r="G50" s="31" t="s">
        <v>71</v>
      </c>
      <c r="H50" s="31" t="s">
        <v>71</v>
      </c>
      <c r="I50" s="32" t="s">
        <v>322</v>
      </c>
    </row>
    <row r="51" customFormat="false" ht="15" hidden="false" customHeight="true" outlineLevel="0" collapsed="false">
      <c r="A51" s="16" t="n">
        <v>49</v>
      </c>
      <c r="B51" s="16" t="s">
        <v>150</v>
      </c>
      <c r="C51" s="16" t="s">
        <v>323</v>
      </c>
      <c r="D51" s="15" t="s">
        <v>324</v>
      </c>
      <c r="E51" s="16" t="s">
        <v>325</v>
      </c>
      <c r="F51" s="31" t="s">
        <v>71</v>
      </c>
      <c r="G51" s="31" t="s">
        <v>71</v>
      </c>
      <c r="H51" s="31" t="s">
        <v>71</v>
      </c>
      <c r="I51" s="32" t="s">
        <v>326</v>
      </c>
    </row>
    <row r="52" customFormat="false" ht="15" hidden="false" customHeight="true" outlineLevel="0" collapsed="false">
      <c r="A52" s="16" t="n">
        <v>50</v>
      </c>
      <c r="B52" s="16" t="s">
        <v>150</v>
      </c>
      <c r="C52" s="16" t="s">
        <v>323</v>
      </c>
      <c r="D52" s="15" t="s">
        <v>327</v>
      </c>
      <c r="E52" s="16" t="s">
        <v>328</v>
      </c>
      <c r="F52" s="31" t="s">
        <v>71</v>
      </c>
      <c r="G52" s="31" t="s">
        <v>71</v>
      </c>
      <c r="H52" s="31" t="s">
        <v>71</v>
      </c>
      <c r="I52" s="32" t="s">
        <v>329</v>
      </c>
    </row>
    <row r="53" customFormat="false" ht="15" hidden="false" customHeight="true" outlineLevel="0" collapsed="false">
      <c r="A53" s="16" t="n">
        <v>51</v>
      </c>
      <c r="B53" s="16" t="s">
        <v>151</v>
      </c>
      <c r="C53" s="16" t="s">
        <v>245</v>
      </c>
      <c r="D53" s="15" t="s">
        <v>330</v>
      </c>
      <c r="E53" s="16" t="s">
        <v>331</v>
      </c>
      <c r="F53" s="31" t="s">
        <v>71</v>
      </c>
      <c r="G53" s="31" t="s">
        <v>71</v>
      </c>
      <c r="H53" s="31" t="s">
        <v>71</v>
      </c>
      <c r="I53" s="32" t="s">
        <v>332</v>
      </c>
    </row>
    <row r="54" customFormat="false" ht="23.25" hidden="false" customHeight="true" outlineLevel="0" collapsed="false">
      <c r="A54" s="16" t="n">
        <v>52</v>
      </c>
      <c r="B54" s="16" t="s">
        <v>151</v>
      </c>
      <c r="C54" s="16" t="s">
        <v>245</v>
      </c>
      <c r="D54" s="15" t="s">
        <v>333</v>
      </c>
      <c r="E54" s="16" t="s">
        <v>334</v>
      </c>
      <c r="F54" s="31" t="s">
        <v>71</v>
      </c>
      <c r="G54" s="31" t="s">
        <v>71</v>
      </c>
      <c r="H54" s="31" t="s">
        <v>71</v>
      </c>
      <c r="I54" s="32" t="s">
        <v>335</v>
      </c>
    </row>
    <row r="55" customFormat="false" ht="34.5" hidden="false" customHeight="true" outlineLevel="0" collapsed="false">
      <c r="A55" s="16" t="n">
        <v>53</v>
      </c>
      <c r="B55" s="16" t="s">
        <v>151</v>
      </c>
      <c r="C55" s="16" t="s">
        <v>279</v>
      </c>
      <c r="D55" s="15" t="s">
        <v>336</v>
      </c>
      <c r="E55" s="16" t="s">
        <v>337</v>
      </c>
      <c r="F55" s="31" t="s">
        <v>71</v>
      </c>
      <c r="G55" s="31" t="s">
        <v>71</v>
      </c>
      <c r="H55" s="31" t="s">
        <v>71</v>
      </c>
      <c r="I55" s="32" t="s">
        <v>338</v>
      </c>
    </row>
    <row r="56" customFormat="false" ht="23.25" hidden="false" customHeight="true" outlineLevel="0" collapsed="false">
      <c r="A56" s="16" t="n">
        <v>54</v>
      </c>
      <c r="B56" s="16" t="s">
        <v>151</v>
      </c>
      <c r="C56" s="16" t="s">
        <v>279</v>
      </c>
      <c r="D56" s="15" t="s">
        <v>339</v>
      </c>
      <c r="E56" s="16" t="s">
        <v>340</v>
      </c>
      <c r="F56" s="31" t="s">
        <v>71</v>
      </c>
      <c r="G56" s="31" t="s">
        <v>71</v>
      </c>
      <c r="H56" s="31" t="s">
        <v>71</v>
      </c>
      <c r="I56" s="32" t="s">
        <v>341</v>
      </c>
    </row>
    <row r="57" customFormat="false" ht="23.25" hidden="false" customHeight="true" outlineLevel="0" collapsed="false">
      <c r="A57" s="16" t="n">
        <v>55</v>
      </c>
      <c r="B57" s="16" t="s">
        <v>151</v>
      </c>
      <c r="C57" s="16" t="s">
        <v>279</v>
      </c>
      <c r="D57" s="15" t="s">
        <v>342</v>
      </c>
      <c r="E57" s="16" t="s">
        <v>343</v>
      </c>
      <c r="F57" s="31" t="s">
        <v>71</v>
      </c>
      <c r="G57" s="31" t="s">
        <v>71</v>
      </c>
      <c r="H57" s="31" t="s">
        <v>71</v>
      </c>
      <c r="I57" s="32" t="s">
        <v>344</v>
      </c>
    </row>
    <row r="58" customFormat="false" ht="21.75" hidden="false" customHeight="true" outlineLevel="0" collapsed="false">
      <c r="A58" s="16" t="n">
        <v>56</v>
      </c>
      <c r="B58" s="16" t="s">
        <v>151</v>
      </c>
      <c r="C58" s="16" t="s">
        <v>279</v>
      </c>
      <c r="D58" s="15" t="s">
        <v>345</v>
      </c>
      <c r="E58" s="16" t="s">
        <v>346</v>
      </c>
      <c r="F58" s="31" t="s">
        <v>71</v>
      </c>
      <c r="G58" s="31" t="s">
        <v>71</v>
      </c>
      <c r="H58" s="31" t="s">
        <v>71</v>
      </c>
      <c r="I58" s="32" t="s">
        <v>347</v>
      </c>
    </row>
    <row r="59" customFormat="false" ht="15" hidden="false" customHeight="true" outlineLevel="0" collapsed="false">
      <c r="A59" s="16" t="n">
        <v>57</v>
      </c>
      <c r="B59" s="16" t="s">
        <v>151</v>
      </c>
      <c r="C59" s="16" t="s">
        <v>348</v>
      </c>
      <c r="D59" s="15" t="s">
        <v>349</v>
      </c>
      <c r="E59" s="16" t="s">
        <v>350</v>
      </c>
      <c r="F59" s="31" t="s">
        <v>71</v>
      </c>
      <c r="G59" s="31" t="s">
        <v>71</v>
      </c>
      <c r="H59" s="31" t="s">
        <v>71</v>
      </c>
      <c r="I59" s="32" t="s">
        <v>351</v>
      </c>
    </row>
    <row r="60" customFormat="false" ht="23.25" hidden="false" customHeight="true" outlineLevel="0" collapsed="false">
      <c r="A60" s="16" t="n">
        <v>58</v>
      </c>
      <c r="B60" s="16" t="s">
        <v>151</v>
      </c>
      <c r="C60" s="16" t="s">
        <v>348</v>
      </c>
      <c r="D60" s="15" t="s">
        <v>352</v>
      </c>
      <c r="E60" s="16" t="s">
        <v>353</v>
      </c>
      <c r="F60" s="31" t="s">
        <v>71</v>
      </c>
      <c r="G60" s="31" t="s">
        <v>71</v>
      </c>
      <c r="H60" s="31" t="s">
        <v>71</v>
      </c>
      <c r="I60" s="32" t="s">
        <v>354</v>
      </c>
    </row>
    <row r="61" customFormat="false" ht="23.25" hidden="false" customHeight="true" outlineLevel="0" collapsed="false">
      <c r="A61" s="16" t="n">
        <v>59</v>
      </c>
      <c r="B61" s="16" t="s">
        <v>151</v>
      </c>
      <c r="C61" s="16" t="s">
        <v>355</v>
      </c>
      <c r="D61" s="15" t="s">
        <v>356</v>
      </c>
      <c r="E61" s="16" t="s">
        <v>357</v>
      </c>
      <c r="F61" s="31" t="s">
        <v>71</v>
      </c>
      <c r="G61" s="31" t="s">
        <v>71</v>
      </c>
      <c r="H61" s="31" t="s">
        <v>71</v>
      </c>
      <c r="I61" s="32" t="s">
        <v>358</v>
      </c>
    </row>
    <row r="62" customFormat="false" ht="15" hidden="false" customHeight="true" outlineLevel="0" collapsed="false">
      <c r="A62" s="16" t="n">
        <v>60</v>
      </c>
      <c r="B62" s="16" t="s">
        <v>152</v>
      </c>
      <c r="C62" s="16" t="s">
        <v>359</v>
      </c>
      <c r="D62" s="15" t="s">
        <v>360</v>
      </c>
      <c r="E62" s="16" t="s">
        <v>361</v>
      </c>
      <c r="F62" s="31" t="s">
        <v>71</v>
      </c>
      <c r="G62" s="31" t="s">
        <v>71</v>
      </c>
      <c r="H62" s="31" t="s">
        <v>71</v>
      </c>
      <c r="I62" s="32" t="s">
        <v>362</v>
      </c>
    </row>
    <row r="63" customFormat="false" ht="15" hidden="false" customHeight="true" outlineLevel="0" collapsed="false">
      <c r="A63" s="16" t="n">
        <v>61</v>
      </c>
      <c r="B63" s="16" t="s">
        <v>152</v>
      </c>
      <c r="C63" s="16" t="s">
        <v>363</v>
      </c>
      <c r="D63" s="15" t="s">
        <v>364</v>
      </c>
      <c r="E63" s="16" t="s">
        <v>365</v>
      </c>
      <c r="F63" s="31" t="s">
        <v>71</v>
      </c>
      <c r="G63" s="31" t="s">
        <v>71</v>
      </c>
      <c r="H63" s="31" t="s">
        <v>71</v>
      </c>
      <c r="I63" s="32" t="s">
        <v>366</v>
      </c>
    </row>
    <row r="64" customFormat="false" ht="15" hidden="false" customHeight="true" outlineLevel="0" collapsed="false">
      <c r="A64" s="16" t="n">
        <v>62</v>
      </c>
      <c r="B64" s="16" t="s">
        <v>152</v>
      </c>
      <c r="C64" s="16" t="s">
        <v>367</v>
      </c>
      <c r="D64" s="15" t="s">
        <v>368</v>
      </c>
      <c r="E64" s="16" t="s">
        <v>369</v>
      </c>
      <c r="F64" s="31" t="s">
        <v>71</v>
      </c>
      <c r="G64" s="31" t="s">
        <v>71</v>
      </c>
      <c r="H64" s="31" t="s">
        <v>71</v>
      </c>
      <c r="I64" s="32" t="s">
        <v>370</v>
      </c>
    </row>
    <row r="65" customFormat="false" ht="23.25" hidden="false" customHeight="true" outlineLevel="0" collapsed="false">
      <c r="A65" s="16" t="n">
        <v>63</v>
      </c>
      <c r="B65" s="16" t="s">
        <v>152</v>
      </c>
      <c r="C65" s="16" t="s">
        <v>371</v>
      </c>
      <c r="D65" s="15" t="s">
        <v>372</v>
      </c>
      <c r="E65" s="16" t="s">
        <v>373</v>
      </c>
      <c r="F65" s="31" t="s">
        <v>71</v>
      </c>
      <c r="G65" s="31" t="s">
        <v>71</v>
      </c>
      <c r="H65" s="31" t="s">
        <v>71</v>
      </c>
      <c r="I65" s="32" t="s">
        <v>374</v>
      </c>
    </row>
    <row r="66" customFormat="false" ht="15" hidden="false" customHeight="true" outlineLevel="0" collapsed="false">
      <c r="A66" s="16" t="n">
        <v>64</v>
      </c>
      <c r="B66" s="16" t="s">
        <v>153</v>
      </c>
      <c r="C66" s="16" t="s">
        <v>375</v>
      </c>
      <c r="D66" s="15" t="s">
        <v>376</v>
      </c>
      <c r="E66" s="16" t="s">
        <v>377</v>
      </c>
      <c r="F66" s="31" t="s">
        <v>71</v>
      </c>
      <c r="G66" s="33" t="s">
        <v>90</v>
      </c>
      <c r="H66" s="31" t="s">
        <v>71</v>
      </c>
      <c r="I66" s="32" t="s">
        <v>378</v>
      </c>
    </row>
    <row r="67" customFormat="false" ht="15" hidden="false" customHeight="true" outlineLevel="0" collapsed="false">
      <c r="A67" s="16" t="n">
        <v>65</v>
      </c>
      <c r="B67" s="16" t="s">
        <v>153</v>
      </c>
      <c r="C67" s="16" t="s">
        <v>379</v>
      </c>
      <c r="D67" s="15" t="s">
        <v>380</v>
      </c>
      <c r="E67" s="16" t="s">
        <v>381</v>
      </c>
      <c r="F67" s="31" t="s">
        <v>71</v>
      </c>
      <c r="G67" s="33" t="s">
        <v>90</v>
      </c>
      <c r="H67" s="31" t="s">
        <v>71</v>
      </c>
      <c r="I67" s="32" t="s">
        <v>378</v>
      </c>
    </row>
    <row r="68" customFormat="false" ht="15" hidden="false" customHeight="true" outlineLevel="0" collapsed="false">
      <c r="A68" s="16" t="n">
        <v>66</v>
      </c>
      <c r="B68" s="16" t="s">
        <v>153</v>
      </c>
      <c r="C68" s="16" t="s">
        <v>382</v>
      </c>
      <c r="D68" s="15" t="s">
        <v>383</v>
      </c>
      <c r="E68" s="16" t="s">
        <v>384</v>
      </c>
      <c r="F68" s="31" t="s">
        <v>71</v>
      </c>
      <c r="G68" s="33" t="s">
        <v>90</v>
      </c>
      <c r="H68" s="31" t="s">
        <v>71</v>
      </c>
      <c r="I68" s="32" t="s">
        <v>378</v>
      </c>
    </row>
    <row r="69" customFormat="false" ht="15" hidden="false" customHeight="true" outlineLevel="0" collapsed="false">
      <c r="A69" s="16" t="n">
        <v>67</v>
      </c>
      <c r="B69" s="16" t="s">
        <v>153</v>
      </c>
      <c r="C69" s="16" t="s">
        <v>385</v>
      </c>
      <c r="D69" s="15" t="s">
        <v>386</v>
      </c>
      <c r="E69" s="16" t="s">
        <v>387</v>
      </c>
      <c r="F69" s="31" t="s">
        <v>71</v>
      </c>
      <c r="G69" s="33" t="s">
        <v>90</v>
      </c>
      <c r="H69" s="31" t="s">
        <v>71</v>
      </c>
      <c r="I69" s="32" t="s">
        <v>378</v>
      </c>
    </row>
    <row r="70" customFormat="false" ht="15" hidden="false" customHeight="true" outlineLevel="0" collapsed="false">
      <c r="A70" s="16" t="n">
        <v>68</v>
      </c>
      <c r="B70" s="16" t="s">
        <v>153</v>
      </c>
      <c r="C70" s="16" t="s">
        <v>385</v>
      </c>
      <c r="D70" s="15" t="s">
        <v>388</v>
      </c>
      <c r="E70" s="16" t="s">
        <v>387</v>
      </c>
      <c r="F70" s="31" t="s">
        <v>71</v>
      </c>
      <c r="G70" s="33" t="s">
        <v>90</v>
      </c>
      <c r="H70" s="31" t="s">
        <v>71</v>
      </c>
      <c r="I70" s="32" t="s">
        <v>378</v>
      </c>
    </row>
    <row r="71" customFormat="false" ht="15" hidden="false" customHeight="true" outlineLevel="0" collapsed="false">
      <c r="A71" s="16" t="n">
        <v>69</v>
      </c>
      <c r="B71" s="16" t="s">
        <v>153</v>
      </c>
      <c r="C71" s="16" t="s">
        <v>382</v>
      </c>
      <c r="D71" s="15" t="s">
        <v>389</v>
      </c>
      <c r="E71" s="16" t="s">
        <v>390</v>
      </c>
      <c r="F71" s="31" t="s">
        <v>71</v>
      </c>
      <c r="G71" s="33" t="s">
        <v>90</v>
      </c>
      <c r="H71" s="34" t="s">
        <v>136</v>
      </c>
      <c r="I71" s="32" t="s">
        <v>391</v>
      </c>
    </row>
    <row r="72" customFormat="false" ht="15" hidden="false" customHeight="true" outlineLevel="0" collapsed="false">
      <c r="A72" s="16" t="n">
        <v>70</v>
      </c>
      <c r="B72" s="16" t="s">
        <v>153</v>
      </c>
      <c r="C72" s="16" t="s">
        <v>385</v>
      </c>
      <c r="D72" s="15" t="s">
        <v>392</v>
      </c>
      <c r="E72" s="16" t="s">
        <v>393</v>
      </c>
      <c r="F72" s="31" t="s">
        <v>71</v>
      </c>
      <c r="G72" s="33" t="s">
        <v>90</v>
      </c>
      <c r="H72" s="31" t="s">
        <v>71</v>
      </c>
      <c r="I72" s="32" t="s">
        <v>378</v>
      </c>
    </row>
    <row r="73" customFormat="false" ht="15" hidden="false" customHeight="true" outlineLevel="0" collapsed="false">
      <c r="A73" s="16" t="n">
        <v>71</v>
      </c>
      <c r="B73" s="16" t="s">
        <v>153</v>
      </c>
      <c r="C73" s="16" t="s">
        <v>394</v>
      </c>
      <c r="D73" s="15" t="s">
        <v>395</v>
      </c>
      <c r="E73" s="16" t="s">
        <v>396</v>
      </c>
      <c r="F73" s="31" t="s">
        <v>71</v>
      </c>
      <c r="G73" s="33" t="s">
        <v>90</v>
      </c>
      <c r="H73" s="31" t="s">
        <v>71</v>
      </c>
      <c r="I73" s="32" t="s">
        <v>378</v>
      </c>
    </row>
    <row r="74" customFormat="false" ht="15" hidden="false" customHeight="true" outlineLevel="0" collapsed="false">
      <c r="A74" s="16" t="n">
        <v>72</v>
      </c>
      <c r="B74" s="16" t="s">
        <v>153</v>
      </c>
      <c r="C74" s="16" t="s">
        <v>397</v>
      </c>
      <c r="D74" s="15" t="s">
        <v>398</v>
      </c>
      <c r="E74" s="16" t="s">
        <v>399</v>
      </c>
      <c r="F74" s="31" t="s">
        <v>71</v>
      </c>
      <c r="G74" s="33" t="s">
        <v>90</v>
      </c>
      <c r="H74" s="31" t="s">
        <v>71</v>
      </c>
      <c r="I74" s="32" t="s">
        <v>378</v>
      </c>
    </row>
    <row r="75" customFormat="false" ht="15" hidden="false" customHeight="true" outlineLevel="0" collapsed="false">
      <c r="A75" s="16" t="n">
        <v>73</v>
      </c>
      <c r="B75" s="16" t="s">
        <v>153</v>
      </c>
      <c r="C75" s="16" t="s">
        <v>400</v>
      </c>
      <c r="D75" s="15" t="s">
        <v>401</v>
      </c>
      <c r="E75" s="16" t="s">
        <v>402</v>
      </c>
      <c r="F75" s="31" t="s">
        <v>71</v>
      </c>
      <c r="G75" s="33" t="s">
        <v>90</v>
      </c>
      <c r="H75" s="34" t="s">
        <v>136</v>
      </c>
      <c r="I75" s="32" t="s">
        <v>403</v>
      </c>
    </row>
    <row r="76" customFormat="false" ht="23.25" hidden="false" customHeight="true" outlineLevel="0" collapsed="false">
      <c r="A76" s="16" t="n">
        <v>74</v>
      </c>
      <c r="B76" s="16" t="s">
        <v>153</v>
      </c>
      <c r="C76" s="16" t="s">
        <v>400</v>
      </c>
      <c r="D76" s="15" t="s">
        <v>404</v>
      </c>
      <c r="E76" s="16" t="s">
        <v>405</v>
      </c>
      <c r="F76" s="31" t="s">
        <v>71</v>
      </c>
      <c r="G76" s="33" t="s">
        <v>90</v>
      </c>
      <c r="H76" s="31" t="s">
        <v>71</v>
      </c>
      <c r="I76" s="32" t="s">
        <v>378</v>
      </c>
    </row>
    <row r="77" customFormat="false" ht="23.25" hidden="false" customHeight="true" outlineLevel="0" collapsed="false">
      <c r="A77" s="16" t="n">
        <v>75</v>
      </c>
      <c r="B77" s="16" t="s">
        <v>153</v>
      </c>
      <c r="C77" s="16" t="s">
        <v>400</v>
      </c>
      <c r="D77" s="15" t="s">
        <v>406</v>
      </c>
      <c r="E77" s="16" t="s">
        <v>405</v>
      </c>
      <c r="F77" s="31" t="s">
        <v>71</v>
      </c>
      <c r="G77" s="33" t="s">
        <v>90</v>
      </c>
      <c r="H77" s="31" t="s">
        <v>71</v>
      </c>
      <c r="I77" s="32" t="s">
        <v>407</v>
      </c>
    </row>
    <row r="78" customFormat="false" ht="15" hidden="false" customHeight="true" outlineLevel="0" collapsed="false">
      <c r="A78" s="16" t="n">
        <v>76</v>
      </c>
      <c r="B78" s="16" t="s">
        <v>153</v>
      </c>
      <c r="C78" s="16" t="s">
        <v>400</v>
      </c>
      <c r="D78" s="15" t="s">
        <v>408</v>
      </c>
      <c r="E78" s="16" t="s">
        <v>405</v>
      </c>
      <c r="F78" s="31" t="s">
        <v>71</v>
      </c>
      <c r="G78" s="33" t="s">
        <v>90</v>
      </c>
      <c r="H78" s="34" t="s">
        <v>136</v>
      </c>
      <c r="I78" s="32" t="s">
        <v>409</v>
      </c>
    </row>
    <row r="79" customFormat="false" ht="15" hidden="false" customHeight="true" outlineLevel="0" collapsed="false">
      <c r="A79" s="16" t="n">
        <v>77</v>
      </c>
      <c r="B79" s="16" t="s">
        <v>153</v>
      </c>
      <c r="C79" s="16" t="s">
        <v>410</v>
      </c>
      <c r="D79" s="15" t="s">
        <v>411</v>
      </c>
      <c r="E79" s="16" t="s">
        <v>412</v>
      </c>
      <c r="F79" s="31" t="s">
        <v>71</v>
      </c>
      <c r="G79" s="33" t="s">
        <v>90</v>
      </c>
      <c r="H79" s="34" t="s">
        <v>136</v>
      </c>
      <c r="I79" s="32" t="s">
        <v>413</v>
      </c>
    </row>
    <row r="80" customFormat="false" ht="15" hidden="false" customHeight="true" outlineLevel="0" collapsed="false">
      <c r="A80" s="16" t="n">
        <v>78</v>
      </c>
      <c r="B80" s="16" t="s">
        <v>153</v>
      </c>
      <c r="C80" s="16" t="s">
        <v>414</v>
      </c>
      <c r="D80" s="15" t="s">
        <v>415</v>
      </c>
      <c r="E80" s="16" t="s">
        <v>416</v>
      </c>
      <c r="F80" s="31" t="s">
        <v>71</v>
      </c>
      <c r="G80" s="33" t="s">
        <v>90</v>
      </c>
      <c r="H80" s="34" t="s">
        <v>136</v>
      </c>
      <c r="I80" s="32" t="s">
        <v>417</v>
      </c>
    </row>
    <row r="81" customFormat="false" ht="15" hidden="false" customHeight="true" outlineLevel="0" collapsed="false">
      <c r="A81" s="16" t="n">
        <v>79</v>
      </c>
      <c r="B81" s="16" t="s">
        <v>153</v>
      </c>
      <c r="C81" s="16" t="s">
        <v>418</v>
      </c>
      <c r="D81" s="15" t="s">
        <v>419</v>
      </c>
      <c r="E81" s="16" t="s">
        <v>420</v>
      </c>
      <c r="F81" s="31" t="s">
        <v>71</v>
      </c>
      <c r="G81" s="33" t="s">
        <v>90</v>
      </c>
      <c r="H81" s="34" t="s">
        <v>136</v>
      </c>
      <c r="I81" s="32" t="s">
        <v>421</v>
      </c>
    </row>
    <row r="82" customFormat="false" ht="15" hidden="false" customHeight="true" outlineLevel="0" collapsed="false">
      <c r="A82" s="16" t="n">
        <v>80</v>
      </c>
      <c r="B82" s="16" t="s">
        <v>153</v>
      </c>
      <c r="C82" s="16" t="s">
        <v>418</v>
      </c>
      <c r="D82" s="15" t="s">
        <v>422</v>
      </c>
      <c r="E82" s="16" t="s">
        <v>423</v>
      </c>
      <c r="F82" s="31" t="s">
        <v>71</v>
      </c>
      <c r="G82" s="33" t="s">
        <v>90</v>
      </c>
      <c r="H82" s="34" t="s">
        <v>136</v>
      </c>
      <c r="I82" s="32" t="s">
        <v>421</v>
      </c>
    </row>
    <row r="83" customFormat="false" ht="32.25" hidden="false" customHeight="true" outlineLevel="0" collapsed="false">
      <c r="A83" s="16" t="n">
        <v>81</v>
      </c>
      <c r="B83" s="16" t="s">
        <v>153</v>
      </c>
      <c r="C83" s="16" t="s">
        <v>424</v>
      </c>
      <c r="D83" s="15" t="s">
        <v>425</v>
      </c>
      <c r="E83" s="16" t="s">
        <v>426</v>
      </c>
      <c r="F83" s="31" t="s">
        <v>71</v>
      </c>
      <c r="G83" s="31" t="s">
        <v>71</v>
      </c>
      <c r="H83" s="31" t="s">
        <v>71</v>
      </c>
      <c r="I83" s="32" t="s">
        <v>427</v>
      </c>
    </row>
    <row r="84" customFormat="false" ht="15" hidden="false" customHeight="true" outlineLevel="0" collapsed="false">
      <c r="A84" s="16" t="n">
        <v>82</v>
      </c>
      <c r="B84" s="16" t="s">
        <v>154</v>
      </c>
      <c r="C84" s="16" t="s">
        <v>245</v>
      </c>
      <c r="D84" s="15" t="s">
        <v>246</v>
      </c>
      <c r="E84" s="16" t="s">
        <v>428</v>
      </c>
      <c r="F84" s="31" t="s">
        <v>71</v>
      </c>
      <c r="G84" s="31" t="s">
        <v>71</v>
      </c>
      <c r="H84" s="31" t="s">
        <v>71</v>
      </c>
      <c r="I84" s="32" t="s">
        <v>429</v>
      </c>
    </row>
    <row r="85" customFormat="false" ht="15" hidden="false" customHeight="true" outlineLevel="0" collapsed="false">
      <c r="A85" s="16" t="n">
        <v>83</v>
      </c>
      <c r="B85" s="16" t="s">
        <v>154</v>
      </c>
      <c r="C85" s="16" t="s">
        <v>430</v>
      </c>
      <c r="D85" s="15" t="s">
        <v>431</v>
      </c>
      <c r="E85" s="16" t="s">
        <v>432</v>
      </c>
      <c r="F85" s="31" t="s">
        <v>71</v>
      </c>
      <c r="G85" s="31" t="s">
        <v>71</v>
      </c>
      <c r="H85" s="31" t="s">
        <v>71</v>
      </c>
      <c r="I85" s="32" t="s">
        <v>433</v>
      </c>
    </row>
    <row r="86" customFormat="false" ht="23.25" hidden="false" customHeight="true" outlineLevel="0" collapsed="false">
      <c r="A86" s="16" t="n">
        <v>84</v>
      </c>
      <c r="B86" s="16" t="s">
        <v>154</v>
      </c>
      <c r="C86" s="16" t="s">
        <v>434</v>
      </c>
      <c r="D86" s="15" t="s">
        <v>435</v>
      </c>
      <c r="E86" s="16" t="s">
        <v>436</v>
      </c>
      <c r="F86" s="31" t="s">
        <v>71</v>
      </c>
      <c r="G86" s="31" t="s">
        <v>71</v>
      </c>
      <c r="H86" s="31" t="s">
        <v>71</v>
      </c>
      <c r="I86" s="32" t="s">
        <v>437</v>
      </c>
    </row>
    <row r="87" customFormat="false" ht="34.5" hidden="false" customHeight="true" outlineLevel="0" collapsed="false">
      <c r="A87" s="16" t="n">
        <v>85</v>
      </c>
      <c r="B87" s="16" t="s">
        <v>154</v>
      </c>
      <c r="C87" s="16" t="s">
        <v>438</v>
      </c>
      <c r="D87" s="15" t="s">
        <v>439</v>
      </c>
      <c r="E87" s="16" t="s">
        <v>440</v>
      </c>
      <c r="F87" s="31" t="s">
        <v>71</v>
      </c>
      <c r="G87" s="31" t="s">
        <v>71</v>
      </c>
      <c r="H87" s="31" t="s">
        <v>71</v>
      </c>
      <c r="I87" s="32" t="s">
        <v>441</v>
      </c>
    </row>
    <row r="88" customFormat="false" ht="15" hidden="false" customHeight="true" outlineLevel="0" collapsed="false">
      <c r="A88" s="16" t="n">
        <v>86</v>
      </c>
      <c r="B88" s="16" t="s">
        <v>154</v>
      </c>
      <c r="C88" s="16" t="s">
        <v>442</v>
      </c>
      <c r="D88" s="15" t="s">
        <v>443</v>
      </c>
      <c r="E88" s="16" t="s">
        <v>444</v>
      </c>
      <c r="F88" s="31" t="s">
        <v>71</v>
      </c>
      <c r="G88" s="31" t="s">
        <v>71</v>
      </c>
      <c r="H88" s="31" t="s">
        <v>71</v>
      </c>
      <c r="I88" s="32" t="s">
        <v>445</v>
      </c>
    </row>
    <row r="89" customFormat="false" ht="15" hidden="false" customHeight="true" outlineLevel="0" collapsed="false">
      <c r="A89" s="16" t="n">
        <v>87</v>
      </c>
      <c r="B89" s="16" t="s">
        <v>154</v>
      </c>
      <c r="C89" s="16" t="s">
        <v>442</v>
      </c>
      <c r="D89" s="15" t="s">
        <v>446</v>
      </c>
      <c r="E89" s="16" t="s">
        <v>447</v>
      </c>
      <c r="F89" s="31" t="s">
        <v>71</v>
      </c>
      <c r="G89" s="31" t="s">
        <v>71</v>
      </c>
      <c r="H89" s="31" t="s">
        <v>71</v>
      </c>
      <c r="I89" s="32" t="s">
        <v>448</v>
      </c>
    </row>
    <row r="90" customFormat="false" ht="23.25" hidden="false" customHeight="true" outlineLevel="0" collapsed="false">
      <c r="A90" s="16" t="n">
        <v>88</v>
      </c>
      <c r="B90" s="16" t="s">
        <v>154</v>
      </c>
      <c r="C90" s="16" t="s">
        <v>442</v>
      </c>
      <c r="D90" s="15" t="s">
        <v>449</v>
      </c>
      <c r="E90" s="16" t="s">
        <v>450</v>
      </c>
      <c r="F90" s="31" t="s">
        <v>71</v>
      </c>
      <c r="G90" s="31" t="s">
        <v>71</v>
      </c>
      <c r="H90" s="31" t="s">
        <v>71</v>
      </c>
      <c r="I90" s="32" t="s">
        <v>451</v>
      </c>
    </row>
    <row r="91" customFormat="false" ht="15" hidden="false" customHeight="true" outlineLevel="0" collapsed="false">
      <c r="A91" s="16" t="n">
        <v>89</v>
      </c>
      <c r="B91" s="16" t="s">
        <v>154</v>
      </c>
      <c r="C91" s="16" t="s">
        <v>452</v>
      </c>
      <c r="D91" s="15" t="s">
        <v>453</v>
      </c>
      <c r="E91" s="16" t="s">
        <v>454</v>
      </c>
      <c r="F91" s="31" t="s">
        <v>71</v>
      </c>
      <c r="G91" s="31" t="s">
        <v>71</v>
      </c>
      <c r="H91" s="31" t="s">
        <v>71</v>
      </c>
      <c r="I91" s="32" t="s">
        <v>455</v>
      </c>
    </row>
    <row r="92" customFormat="false" ht="15" hidden="false" customHeight="true" outlineLevel="0" collapsed="false">
      <c r="A92" s="16" t="n">
        <v>90</v>
      </c>
      <c r="B92" s="16" t="s">
        <v>154</v>
      </c>
      <c r="C92" s="16" t="s">
        <v>452</v>
      </c>
      <c r="D92" s="15" t="s">
        <v>456</v>
      </c>
      <c r="E92" s="16" t="s">
        <v>457</v>
      </c>
      <c r="F92" s="31" t="s">
        <v>71</v>
      </c>
      <c r="G92" s="31" t="s">
        <v>71</v>
      </c>
      <c r="H92" s="31" t="s">
        <v>71</v>
      </c>
      <c r="I92" s="32" t="s">
        <v>458</v>
      </c>
    </row>
    <row r="93" customFormat="false" ht="15" hidden="false" customHeight="true" outlineLevel="0" collapsed="false">
      <c r="A93" s="16" t="n">
        <v>91</v>
      </c>
      <c r="B93" s="16" t="s">
        <v>154</v>
      </c>
      <c r="C93" s="16" t="s">
        <v>452</v>
      </c>
      <c r="D93" s="15" t="s">
        <v>459</v>
      </c>
      <c r="E93" s="16" t="s">
        <v>460</v>
      </c>
      <c r="F93" s="31" t="s">
        <v>71</v>
      </c>
      <c r="G93" s="31" t="s">
        <v>71</v>
      </c>
      <c r="H93" s="31" t="s">
        <v>71</v>
      </c>
      <c r="I93" s="32" t="s">
        <v>461</v>
      </c>
    </row>
    <row r="94" customFormat="false" ht="15" hidden="false" customHeight="true" outlineLevel="0" collapsed="false">
      <c r="A94" s="16" t="n">
        <v>92</v>
      </c>
      <c r="B94" s="16" t="s">
        <v>154</v>
      </c>
      <c r="C94" s="16" t="s">
        <v>452</v>
      </c>
      <c r="D94" s="15" t="s">
        <v>462</v>
      </c>
      <c r="E94" s="16" t="s">
        <v>463</v>
      </c>
      <c r="F94" s="31" t="s">
        <v>71</v>
      </c>
      <c r="G94" s="31" t="s">
        <v>71</v>
      </c>
      <c r="H94" s="31" t="s">
        <v>71</v>
      </c>
      <c r="I94" s="32" t="s">
        <v>464</v>
      </c>
    </row>
    <row r="95" customFormat="false" ht="23.25" hidden="false" customHeight="true" outlineLevel="0" collapsed="false">
      <c r="A95" s="16" t="n">
        <v>93</v>
      </c>
      <c r="B95" s="16" t="s">
        <v>154</v>
      </c>
      <c r="C95" s="16" t="s">
        <v>465</v>
      </c>
      <c r="D95" s="15" t="s">
        <v>435</v>
      </c>
      <c r="E95" s="16" t="s">
        <v>466</v>
      </c>
      <c r="F95" s="31" t="s">
        <v>71</v>
      </c>
      <c r="G95" s="31" t="s">
        <v>71</v>
      </c>
      <c r="H95" s="31" t="s">
        <v>71</v>
      </c>
      <c r="I95" s="32" t="s">
        <v>441</v>
      </c>
    </row>
    <row r="96" customFormat="false" ht="15" hidden="false" customHeight="true" outlineLevel="0" collapsed="false">
      <c r="A96" s="16" t="n">
        <v>94</v>
      </c>
      <c r="B96" s="16" t="s">
        <v>154</v>
      </c>
      <c r="C96" s="16" t="s">
        <v>467</v>
      </c>
      <c r="D96" s="15" t="s">
        <v>468</v>
      </c>
      <c r="E96" s="16" t="s">
        <v>469</v>
      </c>
      <c r="F96" s="31" t="s">
        <v>71</v>
      </c>
      <c r="G96" s="31" t="s">
        <v>71</v>
      </c>
      <c r="H96" s="31" t="s">
        <v>71</v>
      </c>
      <c r="I96" s="32" t="s">
        <v>441</v>
      </c>
    </row>
    <row r="97" customFormat="false" ht="23.25" hidden="false" customHeight="true" outlineLevel="0" collapsed="false">
      <c r="A97" s="16" t="n">
        <v>95</v>
      </c>
      <c r="B97" s="16" t="s">
        <v>154</v>
      </c>
      <c r="C97" s="16" t="s">
        <v>470</v>
      </c>
      <c r="D97" s="15" t="s">
        <v>471</v>
      </c>
      <c r="E97" s="16" t="s">
        <v>472</v>
      </c>
      <c r="F97" s="31" t="s">
        <v>71</v>
      </c>
      <c r="G97" s="31" t="s">
        <v>71</v>
      </c>
      <c r="H97" s="31" t="s">
        <v>71</v>
      </c>
      <c r="I97" s="32" t="s">
        <v>473</v>
      </c>
    </row>
    <row r="98" customFormat="false" ht="15" hidden="false" customHeight="true" outlineLevel="0" collapsed="false">
      <c r="A98" s="16" t="n">
        <v>96</v>
      </c>
      <c r="B98" s="16" t="s">
        <v>154</v>
      </c>
      <c r="C98" s="16" t="s">
        <v>474</v>
      </c>
      <c r="D98" s="15" t="s">
        <v>475</v>
      </c>
      <c r="E98" s="16" t="s">
        <v>476</v>
      </c>
      <c r="F98" s="31" t="s">
        <v>71</v>
      </c>
      <c r="G98" s="31" t="s">
        <v>71</v>
      </c>
      <c r="H98" s="31" t="s">
        <v>71</v>
      </c>
      <c r="I98" s="32" t="s">
        <v>477</v>
      </c>
    </row>
    <row r="99" customFormat="false" ht="15" hidden="false" customHeight="true" outlineLevel="0" collapsed="false">
      <c r="A99" s="16" t="n">
        <v>97</v>
      </c>
      <c r="B99" s="16" t="s">
        <v>154</v>
      </c>
      <c r="C99" s="16" t="s">
        <v>424</v>
      </c>
      <c r="D99" s="15" t="s">
        <v>478</v>
      </c>
      <c r="E99" s="16" t="s">
        <v>479</v>
      </c>
      <c r="F99" s="31" t="s">
        <v>71</v>
      </c>
      <c r="G99" s="31" t="s">
        <v>71</v>
      </c>
      <c r="H99" s="31" t="s">
        <v>71</v>
      </c>
      <c r="I99" s="32" t="s">
        <v>480</v>
      </c>
    </row>
    <row r="100" customFormat="false" ht="23.25" hidden="false" customHeight="true" outlineLevel="0" collapsed="false">
      <c r="A100" s="16" t="n">
        <v>98</v>
      </c>
      <c r="B100" s="16" t="s">
        <v>154</v>
      </c>
      <c r="C100" s="16" t="s">
        <v>424</v>
      </c>
      <c r="D100" s="15" t="s">
        <v>481</v>
      </c>
      <c r="E100" s="16" t="s">
        <v>482</v>
      </c>
      <c r="F100" s="31" t="s">
        <v>71</v>
      </c>
      <c r="G100" s="31" t="s">
        <v>71</v>
      </c>
      <c r="H100" s="31" t="s">
        <v>71</v>
      </c>
      <c r="I100" s="32" t="s">
        <v>483</v>
      </c>
    </row>
    <row r="101" customFormat="false" ht="23.25" hidden="false" customHeight="true" outlineLevel="0" collapsed="false">
      <c r="A101" s="16" t="n">
        <v>99</v>
      </c>
      <c r="B101" s="16" t="s">
        <v>155</v>
      </c>
      <c r="C101" s="16" t="s">
        <v>245</v>
      </c>
      <c r="D101" s="15" t="s">
        <v>246</v>
      </c>
      <c r="E101" s="16" t="s">
        <v>484</v>
      </c>
      <c r="F101" s="31" t="s">
        <v>71</v>
      </c>
      <c r="G101" s="31" t="s">
        <v>71</v>
      </c>
      <c r="H101" s="31" t="s">
        <v>71</v>
      </c>
      <c r="I101" s="32" t="s">
        <v>485</v>
      </c>
    </row>
    <row r="102" customFormat="false" ht="23.25" hidden="false" customHeight="true" outlineLevel="0" collapsed="false">
      <c r="A102" s="16" t="n">
        <v>100</v>
      </c>
      <c r="B102" s="16" t="s">
        <v>155</v>
      </c>
      <c r="C102" s="16" t="s">
        <v>430</v>
      </c>
      <c r="D102" s="15" t="s">
        <v>431</v>
      </c>
      <c r="E102" s="16" t="s">
        <v>486</v>
      </c>
      <c r="F102" s="31" t="s">
        <v>71</v>
      </c>
      <c r="G102" s="31" t="s">
        <v>71</v>
      </c>
      <c r="H102" s="31" t="s">
        <v>71</v>
      </c>
      <c r="I102" s="32" t="s">
        <v>487</v>
      </c>
    </row>
    <row r="103" customFormat="false" ht="34.5" hidden="false" customHeight="true" outlineLevel="0" collapsed="false">
      <c r="A103" s="16" t="n">
        <v>101</v>
      </c>
      <c r="B103" s="16" t="s">
        <v>155</v>
      </c>
      <c r="C103" s="16" t="s">
        <v>488</v>
      </c>
      <c r="D103" s="15" t="s">
        <v>489</v>
      </c>
      <c r="E103" s="16" t="s">
        <v>490</v>
      </c>
      <c r="F103" s="31" t="s">
        <v>71</v>
      </c>
      <c r="G103" s="33" t="s">
        <v>90</v>
      </c>
      <c r="H103" s="31" t="s">
        <v>71</v>
      </c>
      <c r="I103" s="32" t="s">
        <v>491</v>
      </c>
    </row>
    <row r="104" customFormat="false" ht="23.25" hidden="false" customHeight="true" outlineLevel="0" collapsed="false">
      <c r="A104" s="16" t="n">
        <v>102</v>
      </c>
      <c r="B104" s="16" t="s">
        <v>155</v>
      </c>
      <c r="C104" s="16" t="s">
        <v>488</v>
      </c>
      <c r="D104" s="15" t="s">
        <v>492</v>
      </c>
      <c r="E104" s="16" t="s">
        <v>493</v>
      </c>
      <c r="F104" s="31" t="s">
        <v>71</v>
      </c>
      <c r="G104" s="31" t="s">
        <v>71</v>
      </c>
      <c r="H104" s="31" t="s">
        <v>71</v>
      </c>
      <c r="I104" s="32" t="s">
        <v>494</v>
      </c>
    </row>
    <row r="105" customFormat="false" ht="15" hidden="false" customHeight="true" outlineLevel="0" collapsed="false">
      <c r="A105" s="16" t="n">
        <v>103</v>
      </c>
      <c r="B105" s="16" t="s">
        <v>155</v>
      </c>
      <c r="C105" s="16" t="s">
        <v>495</v>
      </c>
      <c r="D105" s="15" t="s">
        <v>496</v>
      </c>
      <c r="E105" s="16" t="s">
        <v>497</v>
      </c>
      <c r="F105" s="31" t="s">
        <v>71</v>
      </c>
      <c r="G105" s="31" t="s">
        <v>71</v>
      </c>
      <c r="H105" s="31" t="s">
        <v>71</v>
      </c>
      <c r="I105" s="32" t="s">
        <v>498</v>
      </c>
    </row>
    <row r="106" customFormat="false" ht="15" hidden="false" customHeight="true" outlineLevel="0" collapsed="false">
      <c r="A106" s="16" t="n">
        <v>104</v>
      </c>
      <c r="B106" s="16" t="s">
        <v>155</v>
      </c>
      <c r="C106" s="16" t="s">
        <v>499</v>
      </c>
      <c r="D106" s="15" t="s">
        <v>500</v>
      </c>
      <c r="E106" s="16" t="s">
        <v>501</v>
      </c>
      <c r="F106" s="31" t="s">
        <v>71</v>
      </c>
      <c r="G106" s="31" t="s">
        <v>71</v>
      </c>
      <c r="H106" s="31" t="s">
        <v>71</v>
      </c>
      <c r="I106" s="32" t="s">
        <v>502</v>
      </c>
    </row>
    <row r="107" customFormat="false" ht="15" hidden="false" customHeight="true" outlineLevel="0" collapsed="false">
      <c r="A107" s="16" t="n">
        <v>105</v>
      </c>
      <c r="B107" s="16" t="s">
        <v>155</v>
      </c>
      <c r="C107" s="16" t="s">
        <v>474</v>
      </c>
      <c r="D107" s="15" t="s">
        <v>475</v>
      </c>
      <c r="E107" s="16" t="s">
        <v>503</v>
      </c>
      <c r="F107" s="31" t="s">
        <v>71</v>
      </c>
      <c r="G107" s="31" t="s">
        <v>71</v>
      </c>
      <c r="H107" s="31" t="s">
        <v>71</v>
      </c>
      <c r="I107" s="32" t="s">
        <v>504</v>
      </c>
    </row>
    <row r="108" customFormat="false" ht="23.25" hidden="false" customHeight="true" outlineLevel="0" collapsed="false">
      <c r="A108" s="16" t="n">
        <v>106</v>
      </c>
      <c r="B108" s="16" t="s">
        <v>156</v>
      </c>
      <c r="C108" s="16" t="s">
        <v>245</v>
      </c>
      <c r="D108" s="15" t="s">
        <v>246</v>
      </c>
      <c r="E108" s="16" t="s">
        <v>505</v>
      </c>
      <c r="F108" s="31" t="s">
        <v>71</v>
      </c>
      <c r="G108" s="31" t="s">
        <v>71</v>
      </c>
      <c r="H108" s="31" t="s">
        <v>71</v>
      </c>
      <c r="I108" s="32" t="s">
        <v>429</v>
      </c>
    </row>
    <row r="109" customFormat="false" ht="34.5" hidden="false" customHeight="true" outlineLevel="0" collapsed="false">
      <c r="A109" s="16" t="n">
        <v>107</v>
      </c>
      <c r="B109" s="16" t="s">
        <v>156</v>
      </c>
      <c r="C109" s="16" t="s">
        <v>430</v>
      </c>
      <c r="D109" s="15" t="s">
        <v>506</v>
      </c>
      <c r="E109" s="16" t="s">
        <v>507</v>
      </c>
      <c r="F109" s="31" t="s">
        <v>71</v>
      </c>
      <c r="G109" s="31" t="s">
        <v>71</v>
      </c>
      <c r="H109" s="31" t="s">
        <v>71</v>
      </c>
      <c r="I109" s="32" t="s">
        <v>508</v>
      </c>
    </row>
    <row r="110" customFormat="false" ht="15" hidden="false" customHeight="true" outlineLevel="0" collapsed="false">
      <c r="A110" s="16" t="n">
        <v>108</v>
      </c>
      <c r="B110" s="16" t="s">
        <v>156</v>
      </c>
      <c r="C110" s="16" t="s">
        <v>430</v>
      </c>
      <c r="D110" s="15" t="s">
        <v>509</v>
      </c>
      <c r="E110" s="16" t="s">
        <v>510</v>
      </c>
      <c r="F110" s="31" t="s">
        <v>71</v>
      </c>
      <c r="G110" s="31" t="s">
        <v>71</v>
      </c>
      <c r="H110" s="31" t="s">
        <v>71</v>
      </c>
      <c r="I110" s="32" t="s">
        <v>511</v>
      </c>
    </row>
    <row r="111" customFormat="false" ht="23.25" hidden="false" customHeight="true" outlineLevel="0" collapsed="false">
      <c r="A111" s="16" t="n">
        <v>109</v>
      </c>
      <c r="B111" s="16" t="s">
        <v>156</v>
      </c>
      <c r="C111" s="16" t="s">
        <v>488</v>
      </c>
      <c r="D111" s="15" t="s">
        <v>512</v>
      </c>
      <c r="E111" s="16" t="s">
        <v>513</v>
      </c>
      <c r="F111" s="31" t="s">
        <v>71</v>
      </c>
      <c r="G111" s="31" t="s">
        <v>71</v>
      </c>
      <c r="H111" s="31" t="s">
        <v>71</v>
      </c>
      <c r="I111" s="32" t="s">
        <v>514</v>
      </c>
    </row>
    <row r="112" customFormat="false" ht="34.5" hidden="false" customHeight="true" outlineLevel="0" collapsed="false">
      <c r="A112" s="16" t="n">
        <v>110</v>
      </c>
      <c r="B112" s="16" t="s">
        <v>156</v>
      </c>
      <c r="C112" s="16" t="s">
        <v>488</v>
      </c>
      <c r="D112" s="15" t="s">
        <v>515</v>
      </c>
      <c r="E112" s="16" t="s">
        <v>516</v>
      </c>
      <c r="F112" s="31" t="s">
        <v>71</v>
      </c>
      <c r="G112" s="31" t="s">
        <v>71</v>
      </c>
      <c r="H112" s="31" t="s">
        <v>71</v>
      </c>
      <c r="I112" s="32" t="s">
        <v>441</v>
      </c>
    </row>
    <row r="113" customFormat="false" ht="23.25" hidden="false" customHeight="true" outlineLevel="0" collapsed="false">
      <c r="A113" s="16" t="n">
        <v>111</v>
      </c>
      <c r="B113" s="16" t="s">
        <v>156</v>
      </c>
      <c r="C113" s="16" t="s">
        <v>499</v>
      </c>
      <c r="D113" s="15" t="s">
        <v>517</v>
      </c>
      <c r="E113" s="16" t="s">
        <v>518</v>
      </c>
      <c r="F113" s="31" t="s">
        <v>71</v>
      </c>
      <c r="G113" s="31" t="s">
        <v>71</v>
      </c>
      <c r="H113" s="31" t="s">
        <v>71</v>
      </c>
      <c r="I113" s="32" t="s">
        <v>519</v>
      </c>
    </row>
    <row r="114" customFormat="false" ht="23.25" hidden="false" customHeight="true" outlineLevel="0" collapsed="false">
      <c r="A114" s="16" t="n">
        <v>112</v>
      </c>
      <c r="B114" s="16" t="s">
        <v>156</v>
      </c>
      <c r="C114" s="16" t="s">
        <v>474</v>
      </c>
      <c r="D114" s="15" t="s">
        <v>520</v>
      </c>
      <c r="E114" s="16" t="s">
        <v>521</v>
      </c>
      <c r="F114" s="31" t="s">
        <v>71</v>
      </c>
      <c r="G114" s="31" t="s">
        <v>71</v>
      </c>
      <c r="H114" s="31" t="s">
        <v>71</v>
      </c>
      <c r="I114" s="32" t="s">
        <v>522</v>
      </c>
    </row>
    <row r="115" customFormat="false" ht="34.5" hidden="false" customHeight="true" outlineLevel="0" collapsed="false">
      <c r="A115" s="16" t="n">
        <v>113</v>
      </c>
      <c r="B115" s="16" t="s">
        <v>157</v>
      </c>
      <c r="C115" s="16" t="s">
        <v>245</v>
      </c>
      <c r="D115" s="15" t="s">
        <v>523</v>
      </c>
      <c r="E115" s="16" t="s">
        <v>524</v>
      </c>
      <c r="F115" s="31" t="s">
        <v>71</v>
      </c>
      <c r="G115" s="31" t="s">
        <v>71</v>
      </c>
      <c r="H115" s="31" t="s">
        <v>71</v>
      </c>
      <c r="I115" s="32" t="s">
        <v>525</v>
      </c>
    </row>
    <row r="116" customFormat="false" ht="23.25" hidden="false" customHeight="true" outlineLevel="0" collapsed="false">
      <c r="A116" s="16" t="n">
        <v>114</v>
      </c>
      <c r="B116" s="16" t="s">
        <v>157</v>
      </c>
      <c r="C116" s="16" t="s">
        <v>245</v>
      </c>
      <c r="D116" s="15" t="s">
        <v>526</v>
      </c>
      <c r="E116" s="16" t="s">
        <v>527</v>
      </c>
      <c r="F116" s="31" t="s">
        <v>71</v>
      </c>
      <c r="G116" s="31" t="s">
        <v>71</v>
      </c>
      <c r="H116" s="31" t="s">
        <v>71</v>
      </c>
      <c r="I116" s="32" t="s">
        <v>528</v>
      </c>
    </row>
    <row r="117" customFormat="false" ht="15" hidden="false" customHeight="true" outlineLevel="0" collapsed="false">
      <c r="A117" s="16" t="n">
        <v>115</v>
      </c>
      <c r="B117" s="16" t="s">
        <v>157</v>
      </c>
      <c r="C117" s="16" t="s">
        <v>430</v>
      </c>
      <c r="D117" s="15" t="s">
        <v>529</v>
      </c>
      <c r="E117" s="16" t="s">
        <v>530</v>
      </c>
      <c r="F117" s="31" t="s">
        <v>71</v>
      </c>
      <c r="G117" s="31" t="s">
        <v>71</v>
      </c>
      <c r="H117" s="31" t="s">
        <v>71</v>
      </c>
      <c r="I117" s="32" t="s">
        <v>531</v>
      </c>
    </row>
    <row r="118" customFormat="false" ht="23.25" hidden="false" customHeight="true" outlineLevel="0" collapsed="false">
      <c r="A118" s="16" t="n">
        <v>116</v>
      </c>
      <c r="B118" s="16" t="s">
        <v>157</v>
      </c>
      <c r="C118" s="16" t="s">
        <v>430</v>
      </c>
      <c r="D118" s="15" t="s">
        <v>532</v>
      </c>
      <c r="E118" s="16" t="s">
        <v>533</v>
      </c>
      <c r="F118" s="31" t="s">
        <v>71</v>
      </c>
      <c r="G118" s="31" t="s">
        <v>71</v>
      </c>
      <c r="H118" s="31" t="s">
        <v>71</v>
      </c>
      <c r="I118" s="32" t="s">
        <v>534</v>
      </c>
    </row>
    <row r="119" customFormat="false" ht="23.25" hidden="false" customHeight="true" outlineLevel="0" collapsed="false">
      <c r="A119" s="16" t="n">
        <v>117</v>
      </c>
      <c r="B119" s="16" t="s">
        <v>157</v>
      </c>
      <c r="C119" s="16" t="s">
        <v>430</v>
      </c>
      <c r="D119" s="15" t="s">
        <v>535</v>
      </c>
      <c r="E119" s="16" t="s">
        <v>536</v>
      </c>
      <c r="F119" s="31" t="s">
        <v>71</v>
      </c>
      <c r="G119" s="31" t="s">
        <v>71</v>
      </c>
      <c r="H119" s="31" t="s">
        <v>71</v>
      </c>
      <c r="I119" s="32" t="s">
        <v>537</v>
      </c>
    </row>
    <row r="120" customFormat="false" ht="34.5" hidden="false" customHeight="true" outlineLevel="0" collapsed="false">
      <c r="A120" s="16" t="n">
        <v>118</v>
      </c>
      <c r="B120" s="16" t="s">
        <v>157</v>
      </c>
      <c r="C120" s="16" t="s">
        <v>538</v>
      </c>
      <c r="D120" s="15" t="s">
        <v>539</v>
      </c>
      <c r="E120" s="16" t="s">
        <v>540</v>
      </c>
      <c r="F120" s="31" t="s">
        <v>71</v>
      </c>
      <c r="G120" s="31" t="s">
        <v>71</v>
      </c>
      <c r="H120" s="31" t="s">
        <v>71</v>
      </c>
      <c r="I120" s="32" t="s">
        <v>541</v>
      </c>
    </row>
    <row r="121" customFormat="false" ht="32.25" hidden="false" customHeight="true" outlineLevel="0" collapsed="false">
      <c r="A121" s="16" t="n">
        <v>119</v>
      </c>
      <c r="B121" s="16" t="s">
        <v>157</v>
      </c>
      <c r="C121" s="16" t="s">
        <v>542</v>
      </c>
      <c r="D121" s="15" t="s">
        <v>543</v>
      </c>
      <c r="E121" s="16" t="s">
        <v>544</v>
      </c>
      <c r="F121" s="31" t="s">
        <v>71</v>
      </c>
      <c r="G121" s="31" t="s">
        <v>71</v>
      </c>
      <c r="H121" s="31" t="s">
        <v>71</v>
      </c>
      <c r="I121" s="32" t="s">
        <v>545</v>
      </c>
    </row>
    <row r="122" customFormat="false" ht="34.5" hidden="false" customHeight="true" outlineLevel="0" collapsed="false">
      <c r="A122" s="16" t="n">
        <v>120</v>
      </c>
      <c r="B122" s="16" t="s">
        <v>157</v>
      </c>
      <c r="C122" s="16" t="s">
        <v>546</v>
      </c>
      <c r="D122" s="15" t="s">
        <v>547</v>
      </c>
      <c r="E122" s="16" t="s">
        <v>548</v>
      </c>
      <c r="F122" s="31" t="s">
        <v>71</v>
      </c>
      <c r="G122" s="31" t="s">
        <v>71</v>
      </c>
      <c r="H122" s="31" t="s">
        <v>71</v>
      </c>
      <c r="I122" s="32" t="s">
        <v>549</v>
      </c>
    </row>
    <row r="123" customFormat="false" ht="23.25" hidden="false" customHeight="true" outlineLevel="0" collapsed="false">
      <c r="A123" s="16" t="n">
        <v>121</v>
      </c>
      <c r="B123" s="16" t="s">
        <v>157</v>
      </c>
      <c r="C123" s="16" t="s">
        <v>499</v>
      </c>
      <c r="D123" s="15" t="s">
        <v>550</v>
      </c>
      <c r="E123" s="16" t="s">
        <v>551</v>
      </c>
      <c r="F123" s="31" t="s">
        <v>71</v>
      </c>
      <c r="G123" s="31" t="s">
        <v>71</v>
      </c>
      <c r="H123" s="31" t="s">
        <v>71</v>
      </c>
      <c r="I123" s="32" t="s">
        <v>552</v>
      </c>
    </row>
    <row r="124" customFormat="false" ht="23.25" hidden="false" customHeight="true" outlineLevel="0" collapsed="false">
      <c r="A124" s="16" t="n">
        <v>122</v>
      </c>
      <c r="B124" s="16" t="s">
        <v>157</v>
      </c>
      <c r="C124" s="16" t="s">
        <v>474</v>
      </c>
      <c r="D124" s="15" t="s">
        <v>553</v>
      </c>
      <c r="E124" s="16" t="s">
        <v>554</v>
      </c>
      <c r="F124" s="31" t="s">
        <v>71</v>
      </c>
      <c r="G124" s="31" t="s">
        <v>71</v>
      </c>
      <c r="H124" s="31" t="s">
        <v>71</v>
      </c>
      <c r="I124" s="32" t="s">
        <v>555</v>
      </c>
    </row>
    <row r="125" customFormat="false" ht="23.25" hidden="false" customHeight="true" outlineLevel="0" collapsed="false">
      <c r="A125" s="16" t="n">
        <v>123</v>
      </c>
      <c r="B125" s="16" t="s">
        <v>158</v>
      </c>
      <c r="C125" s="16" t="s">
        <v>556</v>
      </c>
      <c r="D125" s="15" t="s">
        <v>557</v>
      </c>
      <c r="E125" s="16" t="s">
        <v>558</v>
      </c>
      <c r="F125" s="31" t="s">
        <v>71</v>
      </c>
      <c r="G125" s="31" t="s">
        <v>71</v>
      </c>
      <c r="H125" s="31" t="s">
        <v>71</v>
      </c>
      <c r="I125" s="32" t="s">
        <v>559</v>
      </c>
    </row>
    <row r="126" customFormat="false" ht="23.25" hidden="false" customHeight="true" outlineLevel="0" collapsed="false">
      <c r="A126" s="16" t="n">
        <v>124</v>
      </c>
      <c r="B126" s="16" t="s">
        <v>158</v>
      </c>
      <c r="C126" s="16" t="s">
        <v>560</v>
      </c>
      <c r="D126" s="15" t="s">
        <v>561</v>
      </c>
      <c r="E126" s="16" t="s">
        <v>562</v>
      </c>
      <c r="F126" s="31" t="s">
        <v>71</v>
      </c>
      <c r="G126" s="31" t="s">
        <v>71</v>
      </c>
      <c r="H126" s="31" t="s">
        <v>71</v>
      </c>
      <c r="I126" s="32" t="s">
        <v>563</v>
      </c>
    </row>
    <row r="127" customFormat="false" ht="23.25" hidden="false" customHeight="true" outlineLevel="0" collapsed="false">
      <c r="A127" s="16" t="n">
        <v>125</v>
      </c>
      <c r="B127" s="16" t="s">
        <v>158</v>
      </c>
      <c r="C127" s="16" t="s">
        <v>564</v>
      </c>
      <c r="D127" s="15" t="s">
        <v>565</v>
      </c>
      <c r="E127" s="16" t="s">
        <v>566</v>
      </c>
      <c r="F127" s="31" t="s">
        <v>71</v>
      </c>
      <c r="G127" s="31" t="s">
        <v>71</v>
      </c>
      <c r="H127" s="31" t="s">
        <v>71</v>
      </c>
      <c r="I127" s="32" t="s">
        <v>567</v>
      </c>
    </row>
    <row r="128" customFormat="false" ht="23.25" hidden="false" customHeight="true" outlineLevel="0" collapsed="false">
      <c r="A128" s="16" t="n">
        <v>126</v>
      </c>
      <c r="B128" s="16" t="s">
        <v>158</v>
      </c>
      <c r="C128" s="16" t="s">
        <v>568</v>
      </c>
      <c r="D128" s="15" t="s">
        <v>569</v>
      </c>
      <c r="E128" s="16" t="s">
        <v>570</v>
      </c>
      <c r="F128" s="31" t="s">
        <v>71</v>
      </c>
      <c r="G128" s="31" t="s">
        <v>71</v>
      </c>
      <c r="H128" s="31" t="s">
        <v>71</v>
      </c>
      <c r="I128" s="32" t="s">
        <v>571</v>
      </c>
    </row>
    <row r="129" customFormat="false" ht="23.25" hidden="false" customHeight="true" outlineLevel="0" collapsed="false">
      <c r="A129" s="16" t="n">
        <v>127</v>
      </c>
      <c r="B129" s="16" t="s">
        <v>158</v>
      </c>
      <c r="C129" s="16" t="s">
        <v>572</v>
      </c>
      <c r="D129" s="15" t="s">
        <v>573</v>
      </c>
      <c r="E129" s="16" t="s">
        <v>574</v>
      </c>
      <c r="F129" s="31" t="s">
        <v>71</v>
      </c>
      <c r="G129" s="31" t="s">
        <v>71</v>
      </c>
      <c r="H129" s="31" t="s">
        <v>71</v>
      </c>
      <c r="I129" s="32" t="s">
        <v>575</v>
      </c>
    </row>
    <row r="130" customFormat="false" ht="15" hidden="false" customHeight="true" outlineLevel="0" collapsed="false">
      <c r="A130" s="16" t="n">
        <v>128</v>
      </c>
      <c r="B130" s="16" t="s">
        <v>158</v>
      </c>
      <c r="C130" s="16" t="s">
        <v>576</v>
      </c>
      <c r="D130" s="15" t="s">
        <v>425</v>
      </c>
      <c r="E130" s="16" t="s">
        <v>577</v>
      </c>
      <c r="F130" s="31" t="s">
        <v>71</v>
      </c>
      <c r="G130" s="31" t="s">
        <v>71</v>
      </c>
      <c r="H130" s="31" t="s">
        <v>71</v>
      </c>
      <c r="I130" s="32" t="s">
        <v>578</v>
      </c>
    </row>
    <row r="131" customFormat="false" ht="15" hidden="false" customHeight="true" outlineLevel="0" collapsed="false">
      <c r="A131" s="16" t="n">
        <v>129</v>
      </c>
      <c r="B131" s="16" t="s">
        <v>158</v>
      </c>
      <c r="C131" s="16" t="s">
        <v>579</v>
      </c>
      <c r="D131" s="15" t="s">
        <v>580</v>
      </c>
      <c r="E131" s="16" t="s">
        <v>581</v>
      </c>
      <c r="F131" s="31" t="s">
        <v>71</v>
      </c>
      <c r="G131" s="31" t="s">
        <v>71</v>
      </c>
      <c r="H131" s="31" t="s">
        <v>71</v>
      </c>
      <c r="I131" s="32" t="s">
        <v>582</v>
      </c>
    </row>
    <row r="132" customFormat="false" ht="15" hidden="false" customHeight="true" outlineLevel="0" collapsed="false">
      <c r="A132" s="16" t="n">
        <v>130</v>
      </c>
      <c r="B132" s="16" t="s">
        <v>158</v>
      </c>
      <c r="C132" s="16" t="s">
        <v>583</v>
      </c>
      <c r="D132" s="15" t="s">
        <v>584</v>
      </c>
      <c r="E132" s="16" t="s">
        <v>585</v>
      </c>
      <c r="F132" s="31" t="s">
        <v>71</v>
      </c>
      <c r="G132" s="31" t="s">
        <v>71</v>
      </c>
      <c r="H132" s="31" t="s">
        <v>71</v>
      </c>
      <c r="I132" s="32" t="s">
        <v>586</v>
      </c>
    </row>
    <row r="133" customFormat="false" ht="15" hidden="false" customHeight="true" outlineLevel="0" collapsed="false">
      <c r="A133" s="16" t="n">
        <v>131</v>
      </c>
      <c r="B133" s="16" t="s">
        <v>158</v>
      </c>
      <c r="C133" s="16" t="s">
        <v>583</v>
      </c>
      <c r="D133" s="15" t="s">
        <v>587</v>
      </c>
      <c r="E133" s="16" t="s">
        <v>588</v>
      </c>
      <c r="F133" s="31" t="s">
        <v>71</v>
      </c>
      <c r="G133" s="31" t="s">
        <v>71</v>
      </c>
      <c r="H133" s="31" t="s">
        <v>71</v>
      </c>
      <c r="I133" s="32" t="s">
        <v>589</v>
      </c>
    </row>
    <row r="134" customFormat="false" ht="15" hidden="false" customHeight="true" outlineLevel="0" collapsed="false">
      <c r="A134" s="16" t="n">
        <v>132</v>
      </c>
      <c r="B134" s="16" t="s">
        <v>158</v>
      </c>
      <c r="C134" s="16" t="s">
        <v>590</v>
      </c>
      <c r="D134" s="15" t="s">
        <v>591</v>
      </c>
      <c r="E134" s="16" t="s">
        <v>592</v>
      </c>
      <c r="F134" s="31" t="s">
        <v>71</v>
      </c>
      <c r="G134" s="31" t="s">
        <v>71</v>
      </c>
      <c r="H134" s="31" t="s">
        <v>71</v>
      </c>
      <c r="I134" s="32" t="s">
        <v>593</v>
      </c>
    </row>
    <row r="135" customFormat="false" ht="15" hidden="false" customHeight="true" outlineLevel="0" collapsed="false">
      <c r="A135" s="16" t="n">
        <v>133</v>
      </c>
      <c r="B135" s="16" t="s">
        <v>158</v>
      </c>
      <c r="C135" s="16" t="s">
        <v>590</v>
      </c>
      <c r="D135" s="15" t="s">
        <v>594</v>
      </c>
      <c r="E135" s="16" t="s">
        <v>595</v>
      </c>
      <c r="F135" s="31" t="s">
        <v>71</v>
      </c>
      <c r="G135" s="31" t="s">
        <v>71</v>
      </c>
      <c r="H135" s="31" t="s">
        <v>71</v>
      </c>
      <c r="I135" s="32" t="s">
        <v>596</v>
      </c>
    </row>
    <row r="136" customFormat="false" ht="23.25" hidden="false" customHeight="true" outlineLevel="0" collapsed="false">
      <c r="A136" s="16" t="n">
        <v>134</v>
      </c>
      <c r="B136" s="16" t="s">
        <v>159</v>
      </c>
      <c r="C136" s="16" t="s">
        <v>488</v>
      </c>
      <c r="D136" s="15" t="s">
        <v>597</v>
      </c>
      <c r="E136" s="16" t="s">
        <v>598</v>
      </c>
      <c r="F136" s="31" t="s">
        <v>71</v>
      </c>
      <c r="G136" s="31" t="s">
        <v>71</v>
      </c>
      <c r="H136" s="31" t="s">
        <v>71</v>
      </c>
      <c r="I136" s="32" t="s">
        <v>599</v>
      </c>
    </row>
    <row r="137" customFormat="false" ht="23.25" hidden="false" customHeight="true" outlineLevel="0" collapsed="false">
      <c r="A137" s="16" t="n">
        <v>135</v>
      </c>
      <c r="B137" s="16" t="s">
        <v>159</v>
      </c>
      <c r="C137" s="16" t="s">
        <v>600</v>
      </c>
      <c r="D137" s="15" t="s">
        <v>601</v>
      </c>
      <c r="E137" s="16" t="s">
        <v>602</v>
      </c>
      <c r="F137" s="31" t="s">
        <v>71</v>
      </c>
      <c r="G137" s="31" t="s">
        <v>71</v>
      </c>
      <c r="H137" s="31" t="s">
        <v>71</v>
      </c>
      <c r="I137" s="32" t="s">
        <v>603</v>
      </c>
    </row>
    <row r="138" customFormat="false" ht="23.25" hidden="false" customHeight="true" outlineLevel="0" collapsed="false">
      <c r="A138" s="16" t="n">
        <v>136</v>
      </c>
      <c r="B138" s="16" t="s">
        <v>159</v>
      </c>
      <c r="C138" s="16" t="s">
        <v>600</v>
      </c>
      <c r="D138" s="15" t="s">
        <v>604</v>
      </c>
      <c r="E138" s="16" t="s">
        <v>605</v>
      </c>
      <c r="F138" s="31" t="s">
        <v>71</v>
      </c>
      <c r="G138" s="31" t="s">
        <v>71</v>
      </c>
      <c r="H138" s="31" t="s">
        <v>71</v>
      </c>
      <c r="I138" s="32" t="s">
        <v>606</v>
      </c>
    </row>
    <row r="139" customFormat="false" ht="23.25" hidden="false" customHeight="true" outlineLevel="0" collapsed="false">
      <c r="A139" s="16" t="n">
        <v>137</v>
      </c>
      <c r="B139" s="16" t="s">
        <v>159</v>
      </c>
      <c r="C139" s="16" t="s">
        <v>607</v>
      </c>
      <c r="D139" s="15" t="s">
        <v>608</v>
      </c>
      <c r="E139" s="16" t="s">
        <v>609</v>
      </c>
      <c r="F139" s="31" t="s">
        <v>71</v>
      </c>
      <c r="G139" s="31" t="s">
        <v>71</v>
      </c>
      <c r="H139" s="31" t="s">
        <v>71</v>
      </c>
      <c r="I139" s="32" t="s">
        <v>610</v>
      </c>
    </row>
    <row r="140" customFormat="false" ht="15" hidden="false" customHeight="true" outlineLevel="0" collapsed="false">
      <c r="A140" s="16" t="n">
        <v>138</v>
      </c>
      <c r="B140" s="16" t="s">
        <v>160</v>
      </c>
      <c r="C140" s="16" t="s">
        <v>611</v>
      </c>
      <c r="D140" s="15" t="s">
        <v>612</v>
      </c>
      <c r="E140" s="16" t="s">
        <v>613</v>
      </c>
      <c r="F140" s="31" t="s">
        <v>71</v>
      </c>
      <c r="G140" s="31" t="s">
        <v>71</v>
      </c>
      <c r="H140" s="31" t="s">
        <v>71</v>
      </c>
      <c r="I140" s="32" t="s">
        <v>614</v>
      </c>
    </row>
    <row r="141" customFormat="false" ht="15" hidden="false" customHeight="true" outlineLevel="0" collapsed="false">
      <c r="A141" s="16" t="n">
        <v>139</v>
      </c>
      <c r="B141" s="16" t="s">
        <v>160</v>
      </c>
      <c r="C141" s="16" t="s">
        <v>611</v>
      </c>
      <c r="D141" s="15" t="s">
        <v>615</v>
      </c>
      <c r="E141" s="16" t="s">
        <v>616</v>
      </c>
      <c r="F141" s="31" t="s">
        <v>71</v>
      </c>
      <c r="G141" s="31" t="s">
        <v>71</v>
      </c>
      <c r="H141" s="31" t="s">
        <v>71</v>
      </c>
      <c r="I141" s="32" t="s">
        <v>617</v>
      </c>
    </row>
    <row r="142" customFormat="false" ht="23.25" hidden="false" customHeight="true" outlineLevel="0" collapsed="false">
      <c r="A142" s="16" t="n">
        <v>140</v>
      </c>
      <c r="B142" s="16" t="s">
        <v>161</v>
      </c>
      <c r="C142" s="16" t="s">
        <v>618</v>
      </c>
      <c r="D142" s="15" t="s">
        <v>619</v>
      </c>
      <c r="E142" s="16" t="s">
        <v>620</v>
      </c>
      <c r="F142" s="31" t="s">
        <v>71</v>
      </c>
      <c r="G142" s="31" t="s">
        <v>71</v>
      </c>
      <c r="H142" s="31" t="s">
        <v>71</v>
      </c>
      <c r="I142" s="32" t="s">
        <v>621</v>
      </c>
    </row>
    <row r="143" customFormat="false" ht="15" hidden="false" customHeight="true" outlineLevel="0" collapsed="false">
      <c r="A143" s="16" t="n">
        <v>141</v>
      </c>
      <c r="B143" s="16" t="s">
        <v>161</v>
      </c>
      <c r="C143" s="16" t="s">
        <v>622</v>
      </c>
      <c r="D143" s="15" t="s">
        <v>623</v>
      </c>
      <c r="E143" s="16" t="s">
        <v>624</v>
      </c>
      <c r="F143" s="31" t="s">
        <v>71</v>
      </c>
      <c r="G143" s="31" t="s">
        <v>71</v>
      </c>
      <c r="H143" s="35" t="s">
        <v>90</v>
      </c>
      <c r="I143" s="32" t="s">
        <v>625</v>
      </c>
    </row>
    <row r="144" customFormat="false" ht="23.25" hidden="false" customHeight="true" outlineLevel="0" collapsed="false">
      <c r="A144" s="16" t="n">
        <v>142</v>
      </c>
      <c r="B144" s="16" t="s">
        <v>161</v>
      </c>
      <c r="C144" s="16" t="s">
        <v>626</v>
      </c>
      <c r="D144" s="15" t="s">
        <v>627</v>
      </c>
      <c r="E144" s="16" t="s">
        <v>628</v>
      </c>
      <c r="F144" s="31" t="s">
        <v>71</v>
      </c>
      <c r="G144" s="31" t="s">
        <v>71</v>
      </c>
      <c r="H144" s="31" t="s">
        <v>71</v>
      </c>
      <c r="I144" s="32" t="s">
        <v>629</v>
      </c>
    </row>
    <row r="145" customFormat="false" ht="23.25" hidden="false" customHeight="true" outlineLevel="0" collapsed="false">
      <c r="A145" s="16" t="n">
        <v>143</v>
      </c>
      <c r="B145" s="16" t="s">
        <v>161</v>
      </c>
      <c r="C145" s="16" t="s">
        <v>630</v>
      </c>
      <c r="D145" s="15" t="s">
        <v>631</v>
      </c>
      <c r="E145" s="16" t="s">
        <v>632</v>
      </c>
      <c r="F145" s="31" t="s">
        <v>71</v>
      </c>
      <c r="G145" s="31" t="s">
        <v>71</v>
      </c>
      <c r="H145" s="31" t="s">
        <v>71</v>
      </c>
      <c r="I145" s="32" t="s">
        <v>633</v>
      </c>
    </row>
    <row r="146" customFormat="false" ht="270" hidden="false" customHeight="true" outlineLevel="0" collapsed="false">
      <c r="A146" s="1" t="n">
        <v>144</v>
      </c>
      <c r="B146" s="4" t="s">
        <v>149</v>
      </c>
      <c r="C146" s="4" t="s">
        <v>634</v>
      </c>
      <c r="D146" s="36" t="s">
        <v>635</v>
      </c>
      <c r="E146" s="4" t="s">
        <v>636</v>
      </c>
      <c r="F146" s="37" t="s">
        <v>136</v>
      </c>
      <c r="G146" s="38" t="s">
        <v>71</v>
      </c>
      <c r="H146" s="39" t="s">
        <v>90</v>
      </c>
      <c r="I146" s="40" t="s">
        <v>637</v>
      </c>
    </row>
    <row r="147" customFormat="false" ht="135.75" hidden="false" customHeight="true" outlineLevel="0" collapsed="false">
      <c r="A147" s="1" t="n">
        <v>145</v>
      </c>
      <c r="B147" s="4" t="s">
        <v>149</v>
      </c>
      <c r="C147" s="4" t="s">
        <v>638</v>
      </c>
      <c r="D147" s="36" t="s">
        <v>639</v>
      </c>
      <c r="E147" s="4" t="s">
        <v>640</v>
      </c>
      <c r="F147" s="38" t="s">
        <v>71</v>
      </c>
      <c r="G147" s="38" t="s">
        <v>71</v>
      </c>
      <c r="H147" s="38" t="s">
        <v>71</v>
      </c>
      <c r="I147" s="40" t="s">
        <v>641</v>
      </c>
    </row>
  </sheetData>
  <autoFilter ref="A2:I145"/>
  <mergeCells count="1">
    <mergeCell ref="A1:I1"/>
  </mergeCells>
  <dataValidations count="1">
    <dataValidation allowBlank="false" errorStyle="stop" operator="between" showDropDown="false" showErrorMessage="false" showInputMessage="false" sqref="F3:H145" type="list">
      <formula1>"Done,Partial,Not started,Dropped"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55"/>
    <col collapsed="false" customWidth="true" hidden="false" outlineLevel="0" max="3" min="3" style="1" width="45"/>
  </cols>
  <sheetData>
    <row r="1" customFormat="false" ht="17.25" hidden="false" customHeight="true" outlineLevel="0" collapsed="false">
      <c r="A1" s="22" t="s">
        <v>642</v>
      </c>
      <c r="B1" s="22"/>
      <c r="C1" s="22"/>
    </row>
    <row r="2" customFormat="false" ht="15" hidden="false" customHeight="true" outlineLevel="0" collapsed="false">
      <c r="A2" s="7" t="s">
        <v>643</v>
      </c>
      <c r="B2" s="7"/>
      <c r="C2" s="7"/>
    </row>
    <row r="3" customFormat="false" ht="15" hidden="false" customHeight="true" outlineLevel="0" collapsed="false">
      <c r="A3" s="41" t="s">
        <v>27</v>
      </c>
      <c r="B3" s="41" t="s">
        <v>644</v>
      </c>
      <c r="C3" s="41" t="s">
        <v>166</v>
      </c>
    </row>
    <row r="4" customFormat="false" ht="15" hidden="false" customHeight="true" outlineLevel="0" collapsed="false">
      <c r="A4" s="42" t="s">
        <v>645</v>
      </c>
      <c r="B4" s="43"/>
      <c r="C4" s="43"/>
    </row>
    <row r="5" customFormat="false" ht="23.25" hidden="false" customHeight="true" outlineLevel="0" collapsed="false">
      <c r="A5" s="15" t="s">
        <v>646</v>
      </c>
      <c r="B5" s="16" t="s">
        <v>647</v>
      </c>
      <c r="C5" s="32" t="s">
        <v>648</v>
      </c>
    </row>
    <row r="6" customFormat="false" ht="23.25" hidden="false" customHeight="true" outlineLevel="0" collapsed="false">
      <c r="A6" s="15" t="s">
        <v>649</v>
      </c>
      <c r="B6" s="16" t="s">
        <v>650</v>
      </c>
      <c r="C6" s="32" t="s">
        <v>651</v>
      </c>
    </row>
    <row r="7" customFormat="false" ht="23.25" hidden="false" customHeight="true" outlineLevel="0" collapsed="false">
      <c r="A7" s="15" t="s">
        <v>652</v>
      </c>
      <c r="B7" s="16" t="s">
        <v>653</v>
      </c>
      <c r="C7" s="32" t="s">
        <v>654</v>
      </c>
    </row>
    <row r="8" customFormat="false" ht="21.75" hidden="false" customHeight="true" outlineLevel="0" collapsed="false">
      <c r="A8" s="15" t="s">
        <v>109</v>
      </c>
      <c r="B8" s="16" t="s">
        <v>655</v>
      </c>
      <c r="C8" s="32" t="s">
        <v>656</v>
      </c>
    </row>
    <row r="9" customFormat="false" ht="15" hidden="false" customHeight="true" outlineLevel="0" collapsed="false">
      <c r="A9" s="42" t="s">
        <v>657</v>
      </c>
      <c r="B9" s="43"/>
      <c r="C9" s="43"/>
    </row>
    <row r="10" customFormat="false" ht="15" hidden="false" customHeight="true" outlineLevel="0" collapsed="false">
      <c r="A10" s="15" t="s">
        <v>658</v>
      </c>
      <c r="B10" s="16" t="s">
        <v>659</v>
      </c>
      <c r="C10" s="32" t="s">
        <v>660</v>
      </c>
    </row>
    <row r="11" customFormat="false" ht="15" hidden="false" customHeight="true" outlineLevel="0" collapsed="false">
      <c r="A11" s="15" t="s">
        <v>661</v>
      </c>
      <c r="B11" s="16" t="s">
        <v>662</v>
      </c>
      <c r="C11" s="32" t="s">
        <v>663</v>
      </c>
    </row>
    <row r="12" customFormat="false" ht="15" hidden="false" customHeight="true" outlineLevel="0" collapsed="false">
      <c r="A12" s="15" t="s">
        <v>664</v>
      </c>
      <c r="B12" s="16" t="s">
        <v>665</v>
      </c>
      <c r="C12" s="32" t="s">
        <v>666</v>
      </c>
    </row>
    <row r="13" customFormat="false" ht="23.25" hidden="false" customHeight="true" outlineLevel="0" collapsed="false">
      <c r="A13" s="15" t="s">
        <v>667</v>
      </c>
      <c r="B13" s="16" t="s">
        <v>668</v>
      </c>
      <c r="C13" s="32" t="s">
        <v>669</v>
      </c>
    </row>
    <row r="14" customFormat="false" ht="15" hidden="false" customHeight="true" outlineLevel="0" collapsed="false">
      <c r="A14" s="42" t="s">
        <v>670</v>
      </c>
      <c r="B14" s="43"/>
      <c r="C14" s="43"/>
    </row>
    <row r="15" customFormat="false" ht="23.25" hidden="false" customHeight="true" outlineLevel="0" collapsed="false">
      <c r="A15" s="15" t="s">
        <v>671</v>
      </c>
      <c r="B15" s="16" t="s">
        <v>672</v>
      </c>
      <c r="C15" s="32" t="s">
        <v>673</v>
      </c>
    </row>
    <row r="16" customFormat="false" ht="23.25" hidden="false" customHeight="true" outlineLevel="0" collapsed="false">
      <c r="A16" s="15" t="s">
        <v>674</v>
      </c>
      <c r="B16" s="16" t="s">
        <v>675</v>
      </c>
      <c r="C16" s="32" t="s">
        <v>676</v>
      </c>
    </row>
    <row r="17" customFormat="false" ht="15" hidden="false" customHeight="true" outlineLevel="0" collapsed="false">
      <c r="A17" s="15" t="s">
        <v>677</v>
      </c>
      <c r="B17" s="16" t="s">
        <v>678</v>
      </c>
      <c r="C17" s="32" t="s">
        <v>679</v>
      </c>
    </row>
    <row r="18" customFormat="false" ht="32.25" hidden="false" customHeight="true" outlineLevel="0" collapsed="false">
      <c r="A18" s="15" t="s">
        <v>680</v>
      </c>
      <c r="B18" s="16" t="s">
        <v>681</v>
      </c>
      <c r="C18" s="32" t="s">
        <v>682</v>
      </c>
    </row>
    <row r="19" customFormat="false" ht="23.25" hidden="false" customHeight="true" outlineLevel="0" collapsed="false">
      <c r="A19" s="15" t="s">
        <v>683</v>
      </c>
      <c r="B19" s="16" t="s">
        <v>684</v>
      </c>
      <c r="C19" s="32" t="s">
        <v>685</v>
      </c>
    </row>
    <row r="20" customFormat="false" ht="15" hidden="false" customHeight="true" outlineLevel="0" collapsed="false">
      <c r="A20" s="42" t="s">
        <v>686</v>
      </c>
      <c r="B20" s="43"/>
      <c r="C20" s="43"/>
    </row>
    <row r="21" customFormat="false" ht="21.75" hidden="false" customHeight="true" outlineLevel="0" collapsed="false">
      <c r="A21" s="15" t="s">
        <v>96</v>
      </c>
      <c r="B21" s="16" t="s">
        <v>687</v>
      </c>
      <c r="C21" s="32" t="s">
        <v>688</v>
      </c>
    </row>
    <row r="22" customFormat="false" ht="21.75" hidden="false" customHeight="true" outlineLevel="0" collapsed="false">
      <c r="A22" s="15" t="s">
        <v>689</v>
      </c>
      <c r="B22" s="16" t="s">
        <v>690</v>
      </c>
      <c r="C22" s="32" t="s">
        <v>691</v>
      </c>
    </row>
    <row r="23" customFormat="false" ht="21.75" hidden="false" customHeight="true" outlineLevel="0" collapsed="false">
      <c r="A23" s="15" t="s">
        <v>692</v>
      </c>
      <c r="B23" s="16" t="s">
        <v>693</v>
      </c>
      <c r="C23" s="32" t="s">
        <v>694</v>
      </c>
    </row>
    <row r="24" customFormat="false" ht="15" hidden="false" customHeight="true" outlineLevel="0" collapsed="false">
      <c r="A24" s="15" t="s">
        <v>695</v>
      </c>
      <c r="B24" s="16" t="s">
        <v>696</v>
      </c>
      <c r="C24" s="32" t="s">
        <v>697</v>
      </c>
    </row>
    <row r="25" customFormat="false" ht="23.25" hidden="false" customHeight="true" outlineLevel="0" collapsed="false">
      <c r="A25" s="15" t="s">
        <v>698</v>
      </c>
      <c r="B25" s="16" t="s">
        <v>699</v>
      </c>
      <c r="C25" s="32" t="s">
        <v>700</v>
      </c>
    </row>
    <row r="26" customFormat="false" ht="21.75" hidden="false" customHeight="true" outlineLevel="0" collapsed="false">
      <c r="A26" s="15" t="s">
        <v>701</v>
      </c>
      <c r="B26" s="16" t="s">
        <v>702</v>
      </c>
      <c r="C26" s="32" t="s">
        <v>703</v>
      </c>
    </row>
    <row r="27" customFormat="false" ht="23.25" hidden="false" customHeight="true" outlineLevel="0" collapsed="false">
      <c r="A27" s="15" t="s">
        <v>704</v>
      </c>
      <c r="B27" s="16" t="s">
        <v>705</v>
      </c>
      <c r="C27" s="32" t="s">
        <v>706</v>
      </c>
    </row>
    <row r="28" customFormat="false" ht="21.75" hidden="false" customHeight="true" outlineLevel="0" collapsed="false">
      <c r="A28" s="15" t="s">
        <v>707</v>
      </c>
      <c r="B28" s="16" t="s">
        <v>708</v>
      </c>
      <c r="C28" s="32" t="s">
        <v>709</v>
      </c>
    </row>
    <row r="29" customFormat="false" ht="23.25" hidden="false" customHeight="true" outlineLevel="0" collapsed="false">
      <c r="A29" s="15" t="s">
        <v>710</v>
      </c>
      <c r="B29" s="16" t="s">
        <v>711</v>
      </c>
      <c r="C29" s="32" t="s">
        <v>712</v>
      </c>
    </row>
    <row r="30" customFormat="false" ht="15" hidden="false" customHeight="true" outlineLevel="0" collapsed="false">
      <c r="A30" s="42" t="s">
        <v>713</v>
      </c>
      <c r="B30" s="43"/>
      <c r="C30" s="43"/>
    </row>
    <row r="31" customFormat="false" ht="23.25" hidden="false" customHeight="true" outlineLevel="0" collapsed="false">
      <c r="A31" s="15" t="s">
        <v>714</v>
      </c>
      <c r="B31" s="16" t="s">
        <v>715</v>
      </c>
      <c r="C31" s="32" t="s">
        <v>716</v>
      </c>
    </row>
    <row r="32" customFormat="false" ht="23.25" hidden="false" customHeight="true" outlineLevel="0" collapsed="false">
      <c r="A32" s="15" t="s">
        <v>717</v>
      </c>
      <c r="B32" s="16" t="s">
        <v>718</v>
      </c>
      <c r="C32" s="32" t="s">
        <v>719</v>
      </c>
    </row>
    <row r="33" customFormat="false" ht="21.75" hidden="false" customHeight="true" outlineLevel="0" collapsed="false">
      <c r="A33" s="15" t="s">
        <v>720</v>
      </c>
      <c r="B33" s="16" t="s">
        <v>721</v>
      </c>
      <c r="C33" s="32" t="s">
        <v>722</v>
      </c>
    </row>
    <row r="34" customFormat="false" ht="34.5" hidden="false" customHeight="true" outlineLevel="0" collapsed="false">
      <c r="A34" s="15" t="s">
        <v>723</v>
      </c>
      <c r="B34" s="16" t="s">
        <v>724</v>
      </c>
      <c r="C34" s="32" t="s">
        <v>725</v>
      </c>
    </row>
    <row r="35" customFormat="false" ht="23.25" hidden="false" customHeight="true" outlineLevel="0" collapsed="false">
      <c r="A35" s="15" t="s">
        <v>726</v>
      </c>
      <c r="B35" s="16" t="s">
        <v>727</v>
      </c>
      <c r="C35" s="32"/>
    </row>
    <row r="36" customFormat="false" ht="23.25" hidden="false" customHeight="true" outlineLevel="0" collapsed="false">
      <c r="A36" s="15" t="s">
        <v>728</v>
      </c>
      <c r="B36" s="16" t="s">
        <v>729</v>
      </c>
      <c r="C36" s="32" t="s">
        <v>730</v>
      </c>
    </row>
    <row r="39" customFormat="false" ht="15" hidden="false" customHeight="true" outlineLevel="0" collapsed="false">
      <c r="A39" s="42" t="s">
        <v>731</v>
      </c>
      <c r="B39" s="43"/>
      <c r="C39" s="43"/>
    </row>
    <row r="40" customFormat="false" ht="23.25" hidden="false" customHeight="true" outlineLevel="0" collapsed="false">
      <c r="A40" s="15" t="s">
        <v>732</v>
      </c>
      <c r="B40" s="16" t="s">
        <v>733</v>
      </c>
      <c r="C40" s="32" t="s">
        <v>734</v>
      </c>
    </row>
    <row r="41" customFormat="false" ht="23.25" hidden="false" customHeight="true" outlineLevel="0" collapsed="false">
      <c r="A41" s="15" t="s">
        <v>735</v>
      </c>
      <c r="B41" s="16" t="s">
        <v>736</v>
      </c>
      <c r="C41" s="32" t="s">
        <v>737</v>
      </c>
    </row>
    <row r="42" customFormat="false" ht="21.75" hidden="false" customHeight="true" outlineLevel="0" collapsed="false">
      <c r="A42" s="15" t="s">
        <v>738</v>
      </c>
      <c r="B42" s="16" t="s">
        <v>739</v>
      </c>
      <c r="C42" s="32" t="s">
        <v>740</v>
      </c>
    </row>
    <row r="43" customFormat="false" ht="34.5" hidden="false" customHeight="true" outlineLevel="0" collapsed="false">
      <c r="A43" s="15" t="s">
        <v>741</v>
      </c>
      <c r="B43" s="16" t="s">
        <v>742</v>
      </c>
      <c r="C43" s="32" t="s">
        <v>743</v>
      </c>
    </row>
    <row r="44" customFormat="false" ht="23.25" hidden="false" customHeight="true" outlineLevel="0" collapsed="false">
      <c r="A44" s="15" t="s">
        <v>744</v>
      </c>
      <c r="B44" s="16" t="s">
        <v>745</v>
      </c>
      <c r="C44" s="32" t="s">
        <v>746</v>
      </c>
    </row>
    <row r="45" customFormat="false" ht="23.25" hidden="false" customHeight="true" outlineLevel="0" collapsed="false"/>
    <row r="47" customFormat="false" ht="15" hidden="false" customHeight="true" outlineLevel="0" collapsed="false">
      <c r="A47" s="42" t="s">
        <v>747</v>
      </c>
      <c r="B47" s="43"/>
      <c r="C47" s="43"/>
    </row>
    <row r="48" customFormat="false" ht="23.25" hidden="false" customHeight="true" outlineLevel="0" collapsed="false">
      <c r="A48" s="15" t="s">
        <v>748</v>
      </c>
      <c r="B48" s="16" t="s">
        <v>749</v>
      </c>
      <c r="C48" s="32" t="s">
        <v>750</v>
      </c>
    </row>
    <row r="49" customFormat="false" ht="23.25" hidden="false" customHeight="true" outlineLevel="0" collapsed="false">
      <c r="A49" s="15" t="s">
        <v>751</v>
      </c>
      <c r="B49" s="16" t="s">
        <v>752</v>
      </c>
      <c r="C49" s="32" t="s">
        <v>753</v>
      </c>
    </row>
    <row r="50" customFormat="false" ht="21.75" hidden="false" customHeight="true" outlineLevel="0" collapsed="false"/>
    <row r="51" customFormat="false" ht="34.5" hidden="false" customHeight="true" outlineLevel="0" collapsed="false"/>
    <row r="52" customFormat="false" ht="23.25" hidden="false" customHeight="true" outlineLevel="0" collapsed="false">
      <c r="A52" s="42" t="s">
        <v>754</v>
      </c>
      <c r="B52" s="43"/>
      <c r="C52" s="43"/>
    </row>
    <row r="53" customFormat="false" ht="23.25" hidden="false" customHeight="true" outlineLevel="0" collapsed="false">
      <c r="A53" s="15" t="s">
        <v>755</v>
      </c>
      <c r="B53" s="16" t="s">
        <v>756</v>
      </c>
      <c r="C53" s="32" t="s">
        <v>757</v>
      </c>
    </row>
    <row r="54" customFormat="false" ht="23.25" hidden="false" customHeight="true" outlineLevel="0" collapsed="false">
      <c r="A54" s="15" t="s">
        <v>758</v>
      </c>
      <c r="B54" s="16" t="s">
        <v>759</v>
      </c>
      <c r="C54" s="32"/>
    </row>
    <row r="55" customFormat="false" ht="21.75" hidden="false" customHeight="true" outlineLevel="0" collapsed="false">
      <c r="A55" s="15" t="s">
        <v>760</v>
      </c>
      <c r="B55" s="16" t="s">
        <v>761</v>
      </c>
      <c r="C55" s="32" t="s">
        <v>762</v>
      </c>
    </row>
    <row r="56" customFormat="false" ht="34.5" hidden="false" customHeight="true" outlineLevel="0" collapsed="false">
      <c r="A56" s="15" t="s">
        <v>763</v>
      </c>
      <c r="B56" s="16" t="s">
        <v>764</v>
      </c>
      <c r="C56" s="32" t="s">
        <v>765</v>
      </c>
    </row>
    <row r="57" customFormat="false" ht="23.25" hidden="false" customHeight="true" outlineLevel="0" collapsed="false">
      <c r="A57" s="15" t="s">
        <v>766</v>
      </c>
      <c r="B57" s="16" t="s">
        <v>767</v>
      </c>
      <c r="C57" s="32" t="s">
        <v>768</v>
      </c>
    </row>
    <row r="58" customFormat="false" ht="23.25" hidden="false" customHeight="true" outlineLevel="0" collapsed="false">
      <c r="A58" s="15" t="s">
        <v>769</v>
      </c>
      <c r="B58" s="16" t="s">
        <v>770</v>
      </c>
      <c r="C58" s="32" t="s">
        <v>771</v>
      </c>
    </row>
    <row r="60" customFormat="false" ht="15" hidden="false" customHeight="true" outlineLevel="0" collapsed="false">
      <c r="A60" s="42" t="s">
        <v>772</v>
      </c>
      <c r="B60" s="43"/>
      <c r="C60" s="43"/>
    </row>
    <row r="61" customFormat="false" ht="23.25" hidden="false" customHeight="true" outlineLevel="0" collapsed="false">
      <c r="A61" s="15" t="s">
        <v>773</v>
      </c>
      <c r="B61" s="16" t="s">
        <v>774</v>
      </c>
      <c r="C61" s="32" t="s">
        <v>775</v>
      </c>
    </row>
    <row r="62" customFormat="false" ht="23.25" hidden="false" customHeight="true" outlineLevel="0" collapsed="false">
      <c r="A62" s="15" t="s">
        <v>776</v>
      </c>
      <c r="B62" s="16" t="s">
        <v>777</v>
      </c>
      <c r="C62" s="32"/>
    </row>
    <row r="63" customFormat="false" ht="21.75" hidden="false" customHeight="true" outlineLevel="0" collapsed="false">
      <c r="A63" s="15" t="s">
        <v>778</v>
      </c>
      <c r="B63" s="16" t="s">
        <v>779</v>
      </c>
      <c r="C63" s="32"/>
    </row>
    <row r="64" customFormat="false" ht="34.5" hidden="false" customHeight="true" outlineLevel="0" collapsed="false">
      <c r="A64" s="15" t="s">
        <v>780</v>
      </c>
      <c r="B64" s="16" t="s">
        <v>781</v>
      </c>
      <c r="C64" s="32" t="s">
        <v>782</v>
      </c>
    </row>
    <row r="65" customFormat="false" ht="23.25" hidden="false" customHeight="true" outlineLevel="0" collapsed="false">
      <c r="A65" s="15" t="s">
        <v>783</v>
      </c>
      <c r="B65" s="16" t="s">
        <v>784</v>
      </c>
      <c r="C65" s="32" t="s">
        <v>785</v>
      </c>
    </row>
    <row r="66" customFormat="false" ht="23.25" hidden="false" customHeight="true" outlineLevel="0" collapsed="false"/>
    <row r="68" customFormat="false" ht="15" hidden="false" customHeight="true" outlineLevel="0" collapsed="false">
      <c r="A68" s="42" t="s">
        <v>786</v>
      </c>
      <c r="B68" s="43"/>
      <c r="C68" s="43"/>
    </row>
    <row r="69" customFormat="false" ht="23.25" hidden="false" customHeight="true" outlineLevel="0" collapsed="false">
      <c r="A69" s="15" t="s">
        <v>787</v>
      </c>
      <c r="B69" s="16" t="s">
        <v>788</v>
      </c>
      <c r="C69" s="32" t="s">
        <v>789</v>
      </c>
    </row>
    <row r="70" customFormat="false" ht="23.25" hidden="false" customHeight="true" outlineLevel="0" collapsed="false">
      <c r="A70" s="15" t="s">
        <v>790</v>
      </c>
      <c r="B70" s="16" t="s">
        <v>791</v>
      </c>
      <c r="C70" s="32" t="s">
        <v>792</v>
      </c>
    </row>
    <row r="71" customFormat="false" ht="21.75" hidden="false" customHeight="true" outlineLevel="0" collapsed="false">
      <c r="A71" s="42" t="s">
        <v>793</v>
      </c>
      <c r="B71" s="43"/>
      <c r="C71" s="43"/>
    </row>
    <row r="72" customFormat="false" ht="34.5" hidden="false" customHeight="true" outlineLevel="0" collapsed="false">
      <c r="A72" s="15" t="s">
        <v>794</v>
      </c>
      <c r="B72" s="16" t="s">
        <v>795</v>
      </c>
      <c r="C72" s="32" t="s">
        <v>796</v>
      </c>
    </row>
    <row r="73" customFormat="false" ht="23.25" hidden="false" customHeight="true" outlineLevel="0" collapsed="false">
      <c r="A73" s="15" t="s">
        <v>797</v>
      </c>
      <c r="B73" s="16" t="s">
        <v>798</v>
      </c>
      <c r="C73" s="32" t="s">
        <v>799</v>
      </c>
    </row>
    <row r="74" customFormat="false" ht="23.25" hidden="false" customHeight="true" outlineLevel="0" collapsed="false">
      <c r="A74" s="42" t="s">
        <v>800</v>
      </c>
      <c r="B74" s="43"/>
      <c r="C74" s="43"/>
    </row>
    <row r="75" customFormat="false" ht="23.25" hidden="false" customHeight="true" outlineLevel="0" collapsed="false">
      <c r="A75" s="15" t="s">
        <v>801</v>
      </c>
      <c r="B75" s="16" t="s">
        <v>802</v>
      </c>
      <c r="C75" s="32"/>
    </row>
    <row r="76" customFormat="false" ht="15" hidden="false" customHeight="true" outlineLevel="0" collapsed="false">
      <c r="A76" s="15" t="s">
        <v>803</v>
      </c>
      <c r="B76" s="16" t="s">
        <v>804</v>
      </c>
      <c r="C76" s="32"/>
    </row>
    <row r="77" customFormat="false" ht="45.75" hidden="false" customHeight="true" outlineLevel="0" collapsed="false">
      <c r="A77" s="15" t="s">
        <v>805</v>
      </c>
      <c r="B77" s="16" t="s">
        <v>806</v>
      </c>
      <c r="C77" s="32"/>
    </row>
    <row r="78" customFormat="false" ht="34.5" hidden="false" customHeight="true" outlineLevel="0" collapsed="false">
      <c r="A78" s="15" t="s">
        <v>807</v>
      </c>
      <c r="B78" s="16" t="s">
        <v>808</v>
      </c>
      <c r="C78" s="32"/>
    </row>
    <row r="79" customFormat="false" ht="15" hidden="false" customHeight="true" outlineLevel="0" collapsed="false">
      <c r="A79" s="42" t="s">
        <v>809</v>
      </c>
      <c r="B79" s="43"/>
      <c r="C79" s="43"/>
    </row>
    <row r="80" customFormat="false" ht="23.25" hidden="false" customHeight="true" outlineLevel="0" collapsed="false">
      <c r="A80" s="15" t="s">
        <v>810</v>
      </c>
      <c r="B80" s="16" t="s">
        <v>811</v>
      </c>
      <c r="C80" s="32" t="s">
        <v>812</v>
      </c>
    </row>
    <row r="81" customFormat="false" ht="23.25" hidden="false" customHeight="true" outlineLevel="0" collapsed="false">
      <c r="A81" s="15" t="s">
        <v>794</v>
      </c>
      <c r="B81" s="16" t="s">
        <v>813</v>
      </c>
      <c r="C81" s="32"/>
    </row>
    <row r="82" customFormat="false" ht="21.75" hidden="false" customHeight="true" outlineLevel="0" collapsed="false">
      <c r="A82" s="15" t="s">
        <v>797</v>
      </c>
      <c r="B82" s="16" t="s">
        <v>814</v>
      </c>
      <c r="C82" s="32" t="s">
        <v>815</v>
      </c>
    </row>
    <row r="83" customFormat="false" ht="34.5" hidden="false" customHeight="true" outlineLevel="0" collapsed="false">
      <c r="A83" s="15" t="s">
        <v>801</v>
      </c>
      <c r="B83" s="16" t="s">
        <v>816</v>
      </c>
      <c r="C83" s="32"/>
    </row>
    <row r="84" customFormat="false" ht="23.25" hidden="false" customHeight="true" outlineLevel="0" collapsed="false">
      <c r="A84" s="15" t="s">
        <v>803</v>
      </c>
      <c r="B84" s="16" t="s">
        <v>817</v>
      </c>
      <c r="C84" s="32"/>
    </row>
    <row r="85" customFormat="false" ht="23.25" hidden="false" customHeight="true" outlineLevel="0" collapsed="false">
      <c r="A85" s="15" t="s">
        <v>807</v>
      </c>
      <c r="B85" s="16" t="s">
        <v>818</v>
      </c>
      <c r="C85" s="32"/>
    </row>
    <row r="86" customFormat="false" ht="34.5" hidden="false" customHeight="true" outlineLevel="0" collapsed="false">
      <c r="A86" s="15" t="s">
        <v>819</v>
      </c>
      <c r="B86" s="16" t="s">
        <v>820</v>
      </c>
      <c r="C86" s="32" t="s">
        <v>821</v>
      </c>
    </row>
    <row r="88" customFormat="false" ht="15" hidden="false" customHeight="true" outlineLevel="0" collapsed="false">
      <c r="A88" s="42" t="s">
        <v>822</v>
      </c>
      <c r="B88" s="43"/>
      <c r="C88" s="43"/>
    </row>
    <row r="89" customFormat="false" ht="23.25" hidden="false" customHeight="true" outlineLevel="0" collapsed="false">
      <c r="A89" s="15" t="s">
        <v>823</v>
      </c>
      <c r="B89" s="16" t="s">
        <v>824</v>
      </c>
      <c r="C89" s="32"/>
    </row>
    <row r="90" customFormat="false" ht="23.25" hidden="false" customHeight="true" outlineLevel="0" collapsed="false">
      <c r="A90" s="15" t="s">
        <v>825</v>
      </c>
      <c r="B90" s="16" t="s">
        <v>826</v>
      </c>
      <c r="C90" s="32"/>
    </row>
    <row r="91" customFormat="false" ht="21.75" hidden="false" customHeight="true" outlineLevel="0" collapsed="false">
      <c r="A91" s="15" t="s">
        <v>827</v>
      </c>
      <c r="B91" s="16" t="s">
        <v>828</v>
      </c>
      <c r="C91" s="32"/>
    </row>
    <row r="92" customFormat="false" ht="34.5" hidden="false" customHeight="true" outlineLevel="0" collapsed="false">
      <c r="A92" s="15" t="s">
        <v>829</v>
      </c>
      <c r="B92" s="16" t="s">
        <v>830</v>
      </c>
      <c r="C92" s="32"/>
    </row>
    <row r="93" customFormat="false" ht="23.25" hidden="false" customHeight="true" outlineLevel="0" collapsed="false">
      <c r="A93" s="15" t="s">
        <v>831</v>
      </c>
      <c r="B93" s="16" t="s">
        <v>832</v>
      </c>
      <c r="C93" s="32"/>
    </row>
    <row r="94" customFormat="false" ht="23.25" hidden="false" customHeight="true" outlineLevel="0" collapsed="false">
      <c r="A94" s="15" t="s">
        <v>833</v>
      </c>
      <c r="B94" s="16" t="s">
        <v>834</v>
      </c>
      <c r="C94" s="32"/>
    </row>
    <row r="97" customFormat="false" ht="15" hidden="false" customHeight="true" outlineLevel="0" collapsed="false">
      <c r="A97" s="42" t="s">
        <v>835</v>
      </c>
      <c r="B97" s="43"/>
      <c r="C97" s="43"/>
    </row>
    <row r="98" customFormat="false" ht="23.25" hidden="false" customHeight="true" outlineLevel="0" collapsed="false">
      <c r="A98" s="15" t="s">
        <v>836</v>
      </c>
      <c r="B98" s="16" t="s">
        <v>837</v>
      </c>
      <c r="C98" s="32" t="s">
        <v>838</v>
      </c>
    </row>
    <row r="99" customFormat="false" ht="23.25" hidden="false" customHeight="true" outlineLevel="0" collapsed="false">
      <c r="A99" s="15" t="s">
        <v>839</v>
      </c>
      <c r="B99" s="16" t="s">
        <v>840</v>
      </c>
      <c r="C99" s="32"/>
    </row>
    <row r="100" customFormat="false" ht="21.75" hidden="false" customHeight="true" outlineLevel="0" collapsed="false">
      <c r="A100" s="15" t="s">
        <v>841</v>
      </c>
      <c r="B100" s="16" t="s">
        <v>842</v>
      </c>
      <c r="C100" s="32"/>
    </row>
    <row r="101" customFormat="false" ht="34.5" hidden="false" customHeight="true" outlineLevel="0" collapsed="false"/>
    <row r="102" customFormat="false" ht="23.25" hidden="false" customHeight="true" outlineLevel="0" collapsed="false"/>
    <row r="103" customFormat="false" ht="23.25" hidden="false" customHeight="true" outlineLevel="0" collapsed="false"/>
    <row r="104" customFormat="false" ht="15" hidden="false" customHeight="true" outlineLevel="0" collapsed="false">
      <c r="A104" s="42" t="s">
        <v>843</v>
      </c>
      <c r="B104" s="43"/>
      <c r="C104" s="43"/>
    </row>
    <row r="105" customFormat="false" ht="23.25" hidden="false" customHeight="true" outlineLevel="0" collapsed="false">
      <c r="A105" s="15" t="s">
        <v>844</v>
      </c>
      <c r="B105" s="16" t="s">
        <v>845</v>
      </c>
      <c r="C105" s="32" t="s">
        <v>846</v>
      </c>
    </row>
    <row r="106" customFormat="false" ht="23.25" hidden="false" customHeight="true" outlineLevel="0" collapsed="false">
      <c r="A106" s="15" t="s">
        <v>847</v>
      </c>
      <c r="B106" s="16" t="s">
        <v>848</v>
      </c>
      <c r="C106" s="32"/>
    </row>
    <row r="107" customFormat="false" ht="21.75" hidden="false" customHeight="true" outlineLevel="0" collapsed="false">
      <c r="A107" s="15" t="s">
        <v>849</v>
      </c>
      <c r="B107" s="16" t="s">
        <v>850</v>
      </c>
      <c r="C107" s="32"/>
    </row>
    <row r="108" customFormat="false" ht="34.5" hidden="false" customHeight="true" outlineLevel="0" collapsed="false">
      <c r="A108" s="15" t="s">
        <v>851</v>
      </c>
      <c r="B108" s="16" t="s">
        <v>852</v>
      </c>
      <c r="C108" s="32"/>
    </row>
    <row r="109" customFormat="false" ht="23.25" hidden="false" customHeight="true" outlineLevel="0" collapsed="false"/>
    <row r="110" customFormat="false" ht="23.25" hidden="false" customHeight="true" outlineLevel="0" collapsed="false"/>
    <row r="111" customFormat="false" ht="15" hidden="false" customHeight="true" outlineLevel="0" collapsed="false">
      <c r="A111" s="42" t="s">
        <v>853</v>
      </c>
      <c r="B111" s="43"/>
      <c r="C111" s="43"/>
    </row>
    <row r="112" customFormat="false" ht="23.25" hidden="false" customHeight="true" outlineLevel="0" collapsed="false">
      <c r="A112" s="15" t="s">
        <v>854</v>
      </c>
      <c r="B112" s="16" t="s">
        <v>855</v>
      </c>
      <c r="C112" s="32"/>
    </row>
    <row r="113" customFormat="false" ht="23.25" hidden="false" customHeight="true" outlineLevel="0" collapsed="false">
      <c r="A113" s="15" t="s">
        <v>856</v>
      </c>
      <c r="B113" s="16" t="s">
        <v>857</v>
      </c>
      <c r="C113" s="32"/>
    </row>
    <row r="114" customFormat="false" ht="21.75" hidden="false" customHeight="true" outlineLevel="0" collapsed="false">
      <c r="A114" s="15" t="s">
        <v>858</v>
      </c>
      <c r="B114" s="16" t="s">
        <v>859</v>
      </c>
      <c r="C114" s="32"/>
    </row>
    <row r="115" customFormat="false" ht="34.5" hidden="false" customHeight="true" outlineLevel="0" collapsed="false">
      <c r="A115" s="15" t="s">
        <v>860</v>
      </c>
      <c r="B115" s="16" t="s">
        <v>861</v>
      </c>
      <c r="C115" s="32"/>
    </row>
    <row r="116" customFormat="false" ht="23.25" hidden="false" customHeight="true" outlineLevel="0" collapsed="false">
      <c r="A116" s="15" t="s">
        <v>862</v>
      </c>
      <c r="B116" s="16" t="s">
        <v>863</v>
      </c>
      <c r="C116" s="32"/>
    </row>
    <row r="117" customFormat="false" ht="23.25" hidden="false" customHeight="true" outlineLevel="0" collapsed="false">
      <c r="A117" s="15" t="s">
        <v>864</v>
      </c>
      <c r="B117" s="16" t="s">
        <v>865</v>
      </c>
      <c r="C117" s="32"/>
    </row>
    <row r="118" customFormat="false" ht="45.75" hidden="false" customHeight="true" outlineLevel="0" collapsed="false">
      <c r="A118" s="15" t="s">
        <v>866</v>
      </c>
      <c r="B118" s="16" t="s">
        <v>867</v>
      </c>
      <c r="C118" s="32"/>
    </row>
    <row r="122" customFormat="false" ht="15" hidden="false" customHeight="true" outlineLevel="0" collapsed="false">
      <c r="A122" s="42" t="s">
        <v>868</v>
      </c>
      <c r="B122" s="43"/>
      <c r="C122" s="43"/>
    </row>
    <row r="123" customFormat="false" ht="23.25" hidden="false" customHeight="true" outlineLevel="0" collapsed="false">
      <c r="A123" s="15" t="s">
        <v>869</v>
      </c>
      <c r="B123" s="16" t="s">
        <v>870</v>
      </c>
      <c r="C123" s="32"/>
    </row>
    <row r="124" customFormat="false" ht="23.25" hidden="false" customHeight="true" outlineLevel="0" collapsed="false">
      <c r="A124" s="15" t="s">
        <v>871</v>
      </c>
      <c r="B124" s="16" t="s">
        <v>872</v>
      </c>
      <c r="C124" s="32"/>
    </row>
    <row r="125" customFormat="false" ht="21.75" hidden="false" customHeight="true" outlineLevel="0" collapsed="false">
      <c r="A125" s="15" t="s">
        <v>873</v>
      </c>
      <c r="B125" s="16" t="s">
        <v>874</v>
      </c>
      <c r="C125" s="32"/>
    </row>
    <row r="126" customFormat="false" ht="34.5" hidden="false" customHeight="true" outlineLevel="0" collapsed="false">
      <c r="A126" s="15" t="s">
        <v>875</v>
      </c>
      <c r="B126" s="16" t="s">
        <v>876</v>
      </c>
      <c r="C126" s="32"/>
    </row>
    <row r="127" customFormat="false" ht="23.25" hidden="false" customHeight="true" outlineLevel="0" collapsed="false">
      <c r="A127" s="15" t="s">
        <v>877</v>
      </c>
      <c r="B127" s="16" t="s">
        <v>878</v>
      </c>
      <c r="C127" s="32"/>
    </row>
    <row r="128" customFormat="false" ht="23.25" hidden="false" customHeight="true" outlineLevel="0" collapsed="false">
      <c r="A128" s="15" t="s">
        <v>879</v>
      </c>
      <c r="B128" s="16" t="s">
        <v>880</v>
      </c>
      <c r="C128" s="32"/>
    </row>
    <row r="130" customFormat="false" ht="15" hidden="false" customHeight="true" outlineLevel="0" collapsed="false">
      <c r="A130" s="42" t="s">
        <v>881</v>
      </c>
      <c r="B130" s="43"/>
      <c r="C130" s="43"/>
    </row>
    <row r="131" customFormat="false" ht="23.25" hidden="false" customHeight="true" outlineLevel="0" collapsed="false">
      <c r="A131" s="15" t="s">
        <v>882</v>
      </c>
      <c r="B131" s="16" t="s">
        <v>883</v>
      </c>
      <c r="C131" s="32"/>
    </row>
    <row r="132" customFormat="false" ht="23.25" hidden="false" customHeight="true" outlineLevel="0" collapsed="false">
      <c r="A132" s="15" t="s">
        <v>884</v>
      </c>
      <c r="B132" s="16" t="s">
        <v>885</v>
      </c>
      <c r="C132" s="32"/>
    </row>
    <row r="133" customFormat="false" ht="21.75" hidden="false" customHeight="true" outlineLevel="0" collapsed="false">
      <c r="A133" s="15" t="s">
        <v>886</v>
      </c>
      <c r="B133" s="16" t="s">
        <v>887</v>
      </c>
      <c r="C133" s="32"/>
    </row>
    <row r="134" customFormat="false" ht="34.5" hidden="false" customHeight="true" outlineLevel="0" collapsed="false"/>
    <row r="135" customFormat="false" ht="23.25" hidden="false" customHeight="true" outlineLevel="0" collapsed="false"/>
    <row r="136" customFormat="false" ht="23.25" hidden="false" customHeight="true" outlineLevel="0" collapsed="false"/>
    <row r="137" customFormat="false" ht="15" hidden="false" customHeight="true" outlineLevel="0" collapsed="false">
      <c r="A137" s="42" t="s">
        <v>888</v>
      </c>
      <c r="B137" s="43"/>
      <c r="C137" s="43"/>
    </row>
    <row r="138" customFormat="false" ht="23.25" hidden="false" customHeight="true" outlineLevel="0" collapsed="false">
      <c r="A138" s="15" t="s">
        <v>889</v>
      </c>
      <c r="B138" s="16" t="s">
        <v>890</v>
      </c>
      <c r="C138" s="32"/>
    </row>
    <row r="139" customFormat="false" ht="23.25" hidden="false" customHeight="true" outlineLevel="0" collapsed="false">
      <c r="A139" s="15" t="s">
        <v>891</v>
      </c>
      <c r="B139" s="16" t="s">
        <v>892</v>
      </c>
      <c r="C139" s="32"/>
    </row>
    <row r="140" customFormat="false" ht="21.75" hidden="false" customHeight="true" outlineLevel="0" collapsed="false">
      <c r="A140" s="15" t="s">
        <v>893</v>
      </c>
      <c r="B140" s="16" t="s">
        <v>894</v>
      </c>
      <c r="C140" s="32"/>
    </row>
    <row r="141" customFormat="false" ht="34.5" hidden="false" customHeight="true" outlineLevel="0" collapsed="false">
      <c r="A141" s="15" t="s">
        <v>895</v>
      </c>
      <c r="B141" s="16" t="s">
        <v>896</v>
      </c>
      <c r="C141" s="32"/>
    </row>
    <row r="142" customFormat="false" ht="23.25" hidden="false" customHeight="true" outlineLevel="0" collapsed="false"/>
    <row r="143" customFormat="false" ht="23.25" hidden="false" customHeight="true" outlineLevel="0" collapsed="false"/>
    <row r="144" customFormat="false" ht="15" hidden="false" customHeight="true" outlineLevel="0" collapsed="false">
      <c r="A144" s="42" t="s">
        <v>897</v>
      </c>
      <c r="B144" s="43"/>
      <c r="C144" s="43"/>
    </row>
    <row r="145" customFormat="false" ht="23.25" hidden="false" customHeight="true" outlineLevel="0" collapsed="false">
      <c r="A145" s="15" t="s">
        <v>898</v>
      </c>
      <c r="B145" s="16" t="s">
        <v>899</v>
      </c>
      <c r="C145" s="32"/>
    </row>
    <row r="146" customFormat="false" ht="23.25" hidden="false" customHeight="true" outlineLevel="0" collapsed="false">
      <c r="A146" s="15" t="s">
        <v>900</v>
      </c>
      <c r="B146" s="16" t="s">
        <v>901</v>
      </c>
      <c r="C146" s="32"/>
    </row>
    <row r="147" customFormat="false" ht="21.75" hidden="false" customHeight="true" outlineLevel="0" collapsed="false">
      <c r="A147" s="15" t="s">
        <v>902</v>
      </c>
      <c r="B147" s="16" t="s">
        <v>903</v>
      </c>
      <c r="C147" s="32"/>
    </row>
    <row r="148" customFormat="false" ht="34.5" hidden="false" customHeight="true" outlineLevel="0" collapsed="false">
      <c r="A148" s="15" t="s">
        <v>904</v>
      </c>
      <c r="B148" s="16" t="s">
        <v>905</v>
      </c>
      <c r="C148" s="32"/>
    </row>
    <row r="149" customFormat="false" ht="23.25" hidden="false" customHeight="true" outlineLevel="0" collapsed="false">
      <c r="A149" s="15" t="s">
        <v>906</v>
      </c>
      <c r="B149" s="16" t="s">
        <v>907</v>
      </c>
      <c r="C149" s="32"/>
    </row>
    <row r="150" customFormat="false" ht="23.25" hidden="false" customHeight="true" outlineLevel="0" collapsed="false">
      <c r="A150" s="15" t="s">
        <v>908</v>
      </c>
      <c r="B150" s="16" t="s">
        <v>909</v>
      </c>
      <c r="C150" s="32"/>
    </row>
    <row r="153" customFormat="false" ht="15" hidden="false" customHeight="true" outlineLevel="0" collapsed="false">
      <c r="A153" s="42" t="s">
        <v>910</v>
      </c>
      <c r="B153" s="43"/>
      <c r="C153" s="43"/>
    </row>
    <row r="154" customFormat="false" ht="23.25" hidden="false" customHeight="true" outlineLevel="0" collapsed="false">
      <c r="A154" s="15" t="s">
        <v>911</v>
      </c>
      <c r="B154" s="16" t="s">
        <v>912</v>
      </c>
      <c r="C154" s="32"/>
    </row>
    <row r="155" customFormat="false" ht="23.25" hidden="false" customHeight="true" outlineLevel="0" collapsed="false">
      <c r="A155" s="15" t="s">
        <v>913</v>
      </c>
      <c r="B155" s="16" t="s">
        <v>914</v>
      </c>
      <c r="C155" s="32"/>
    </row>
    <row r="156" customFormat="false" ht="21.75" hidden="false" customHeight="true" outlineLevel="0" collapsed="false">
      <c r="A156" s="15" t="s">
        <v>915</v>
      </c>
      <c r="B156" s="16" t="s">
        <v>916</v>
      </c>
      <c r="C156" s="32"/>
    </row>
    <row r="157" customFormat="false" ht="34.5" hidden="false" customHeight="true" outlineLevel="0" collapsed="false">
      <c r="A157" s="15" t="s">
        <v>917</v>
      </c>
      <c r="B157" s="16" t="s">
        <v>918</v>
      </c>
      <c r="C157" s="32"/>
    </row>
    <row r="158" customFormat="false" ht="23.25" hidden="false" customHeight="true" outlineLevel="0" collapsed="false">
      <c r="A158" s="15" t="s">
        <v>919</v>
      </c>
      <c r="B158" s="16" t="s">
        <v>920</v>
      </c>
      <c r="C158" s="32"/>
    </row>
    <row r="159" customFormat="false" ht="23.25" hidden="false" customHeight="true" outlineLevel="0" collapsed="false">
      <c r="A159" s="42" t="s">
        <v>921</v>
      </c>
      <c r="B159" s="43"/>
      <c r="C159" s="43"/>
    </row>
    <row r="160" customFormat="false" ht="23.25" hidden="false" customHeight="true" outlineLevel="0" collapsed="false">
      <c r="A160" s="15" t="s">
        <v>922</v>
      </c>
      <c r="B160" s="16" t="s">
        <v>923</v>
      </c>
      <c r="C160" s="32"/>
    </row>
    <row r="161" customFormat="false" ht="23.25" hidden="false" customHeight="true" outlineLevel="0" collapsed="false">
      <c r="A161" s="15" t="s">
        <v>924</v>
      </c>
      <c r="B161" s="16" t="s">
        <v>925</v>
      </c>
      <c r="C161" s="32"/>
    </row>
    <row r="162" customFormat="false" ht="21.75" hidden="false" customHeight="true" outlineLevel="0" collapsed="false">
      <c r="A162" s="15" t="s">
        <v>926</v>
      </c>
      <c r="B162" s="16" t="s">
        <v>927</v>
      </c>
      <c r="C162" s="32"/>
    </row>
    <row r="163" customFormat="false" ht="34.5" hidden="false" customHeight="true" outlineLevel="0" collapsed="false">
      <c r="A163" s="15" t="s">
        <v>928</v>
      </c>
      <c r="B163" s="16" t="s">
        <v>929</v>
      </c>
      <c r="C163" s="32"/>
    </row>
    <row r="164" customFormat="false" ht="23.25" hidden="false" customHeight="true" outlineLevel="0" collapsed="false">
      <c r="A164" s="15" t="s">
        <v>930</v>
      </c>
      <c r="B164" s="16" t="s">
        <v>931</v>
      </c>
      <c r="C164" s="32"/>
    </row>
    <row r="165" customFormat="false" ht="23.25" hidden="false" customHeight="true" outlineLevel="0" collapsed="false">
      <c r="A165" s="15" t="s">
        <v>932</v>
      </c>
      <c r="B165" s="16" t="s">
        <v>933</v>
      </c>
      <c r="C165" s="32"/>
    </row>
    <row r="166" customFormat="false" ht="15" hidden="false" customHeight="true" outlineLevel="0" collapsed="false">
      <c r="A166" s="42" t="s">
        <v>934</v>
      </c>
      <c r="B166" s="43"/>
      <c r="C166" s="43"/>
    </row>
    <row r="167" customFormat="false" ht="23.25" hidden="false" customHeight="true" outlineLevel="0" collapsed="false">
      <c r="A167" s="15" t="s">
        <v>935</v>
      </c>
      <c r="B167" s="16" t="s">
        <v>936</v>
      </c>
      <c r="C167" s="32"/>
    </row>
    <row r="168" customFormat="false" ht="23.25" hidden="false" customHeight="true" outlineLevel="0" collapsed="false">
      <c r="A168" s="15" t="s">
        <v>937</v>
      </c>
      <c r="B168" s="16" t="s">
        <v>938</v>
      </c>
      <c r="C168" s="32"/>
    </row>
    <row r="169" customFormat="false" ht="21.75" hidden="false" customHeight="true" outlineLevel="0" collapsed="false">
      <c r="A169" s="15" t="s">
        <v>939</v>
      </c>
      <c r="B169" s="16" t="s">
        <v>940</v>
      </c>
      <c r="C169" s="32"/>
    </row>
    <row r="170" customFormat="false" ht="34.5" hidden="false" customHeight="true" outlineLevel="0" collapsed="false">
      <c r="A170" s="15" t="s">
        <v>941</v>
      </c>
      <c r="B170" s="16" t="s">
        <v>942</v>
      </c>
      <c r="C170" s="32"/>
    </row>
    <row r="171" customFormat="false" ht="23.25" hidden="false" customHeight="true" outlineLevel="0" collapsed="false"/>
    <row r="172" customFormat="false" ht="23.25" hidden="false" customHeight="true" outlineLevel="0" collapsed="false">
      <c r="A172" s="42" t="s">
        <v>943</v>
      </c>
      <c r="B172" s="43"/>
      <c r="C172" s="43"/>
    </row>
    <row r="173" customFormat="false" ht="23.25" hidden="false" customHeight="true" outlineLevel="0" collapsed="false">
      <c r="A173" s="15" t="s">
        <v>944</v>
      </c>
      <c r="B173" s="16" t="s">
        <v>945</v>
      </c>
      <c r="C173" s="32"/>
    </row>
    <row r="174" customFormat="false" ht="23.25" hidden="false" customHeight="true" outlineLevel="0" collapsed="false">
      <c r="A174" s="15" t="s">
        <v>946</v>
      </c>
      <c r="B174" s="16" t="s">
        <v>947</v>
      </c>
      <c r="C174" s="32"/>
    </row>
    <row r="175" customFormat="false" ht="21.75" hidden="false" customHeight="true" outlineLevel="0" collapsed="false">
      <c r="A175" s="15" t="s">
        <v>948</v>
      </c>
      <c r="B175" s="16" t="s">
        <v>949</v>
      </c>
      <c r="C175" s="32"/>
    </row>
    <row r="176" customFormat="false" ht="34.5" hidden="false" customHeight="true" outlineLevel="0" collapsed="false">
      <c r="A176" s="15" t="s">
        <v>950</v>
      </c>
      <c r="B176" s="16" t="s">
        <v>951</v>
      </c>
      <c r="C176" s="32"/>
    </row>
    <row r="177" customFormat="false" ht="23.25" hidden="false" customHeight="true" outlineLevel="0" collapsed="false">
      <c r="A177" s="15" t="s">
        <v>952</v>
      </c>
      <c r="B177" s="16" t="s">
        <v>953</v>
      </c>
      <c r="C177" s="32"/>
    </row>
    <row r="178" customFormat="false" ht="23.25" hidden="false" customHeight="true" outlineLevel="0" collapsed="false">
      <c r="A178" s="15" t="s">
        <v>954</v>
      </c>
      <c r="B178" s="16" t="s">
        <v>955</v>
      </c>
      <c r="C178" s="32"/>
    </row>
    <row r="180" customFormat="false" ht="15" hidden="false" customHeight="true" outlineLevel="0" collapsed="false">
      <c r="A180" s="42" t="s">
        <v>956</v>
      </c>
      <c r="B180" s="43"/>
      <c r="C180" s="43"/>
    </row>
    <row r="181" customFormat="false" ht="23.25" hidden="false" customHeight="true" outlineLevel="0" collapsed="false">
      <c r="A181" s="15" t="s">
        <v>957</v>
      </c>
      <c r="B181" s="16" t="s">
        <v>958</v>
      </c>
      <c r="C181" s="32"/>
    </row>
    <row r="182" customFormat="false" ht="23.25" hidden="false" customHeight="true" outlineLevel="0" collapsed="false">
      <c r="A182" s="15" t="s">
        <v>959</v>
      </c>
      <c r="B182" s="16" t="s">
        <v>960</v>
      </c>
      <c r="C182" s="32"/>
    </row>
    <row r="183" customFormat="false" ht="21.75" hidden="false" customHeight="true" outlineLevel="0" collapsed="false">
      <c r="A183" s="15" t="s">
        <v>961</v>
      </c>
      <c r="B183" s="16" t="s">
        <v>962</v>
      </c>
      <c r="C183" s="32"/>
    </row>
    <row r="184" customFormat="false" ht="34.5" hidden="false" customHeight="true" outlineLevel="0" collapsed="false">
      <c r="A184" s="15" t="s">
        <v>963</v>
      </c>
      <c r="B184" s="16" t="s">
        <v>964</v>
      </c>
      <c r="C184" s="32"/>
    </row>
    <row r="185" customFormat="false" ht="23.25" hidden="false" customHeight="true" outlineLevel="0" collapsed="false">
      <c r="A185" s="15" t="s">
        <v>965</v>
      </c>
      <c r="B185" s="16" t="s">
        <v>966</v>
      </c>
      <c r="C185" s="32"/>
    </row>
    <row r="186" customFormat="false" ht="23.25" hidden="false" customHeight="true" outlineLevel="0" collapsed="false">
      <c r="A186" s="15" t="s">
        <v>967</v>
      </c>
      <c r="B186" s="16" t="s">
        <v>968</v>
      </c>
      <c r="C186" s="32"/>
    </row>
    <row r="187" customFormat="false" ht="23.25" hidden="false" customHeight="true" outlineLevel="0" collapsed="false">
      <c r="A187" s="15" t="s">
        <v>969</v>
      </c>
      <c r="B187" s="16" t="s">
        <v>970</v>
      </c>
      <c r="C187" s="32"/>
    </row>
    <row r="189" customFormat="false" ht="15" hidden="false" customHeight="true" outlineLevel="0" collapsed="false">
      <c r="A189" s="42" t="s">
        <v>971</v>
      </c>
      <c r="B189" s="43"/>
      <c r="C189" s="43"/>
    </row>
    <row r="190" customFormat="false" ht="23.25" hidden="false" customHeight="true" outlineLevel="0" collapsed="false">
      <c r="A190" s="15" t="s">
        <v>972</v>
      </c>
      <c r="B190" s="16" t="s">
        <v>973</v>
      </c>
      <c r="C190" s="32"/>
    </row>
    <row r="191" customFormat="false" ht="23.25" hidden="false" customHeight="true" outlineLevel="0" collapsed="false">
      <c r="A191" s="15" t="s">
        <v>974</v>
      </c>
      <c r="B191" s="16" t="s">
        <v>975</v>
      </c>
      <c r="C191" s="32"/>
    </row>
    <row r="192" customFormat="false" ht="21.75" hidden="false" customHeight="true" outlineLevel="0" collapsed="false">
      <c r="A192" s="15" t="s">
        <v>976</v>
      </c>
      <c r="B192" s="16" t="s">
        <v>977</v>
      </c>
      <c r="C192" s="32"/>
    </row>
    <row r="193" customFormat="false" ht="34.5" hidden="false" customHeight="true" outlineLevel="0" collapsed="false">
      <c r="A193" s="15" t="s">
        <v>978</v>
      </c>
      <c r="B193" s="16" t="s">
        <v>979</v>
      </c>
      <c r="C193" s="32"/>
    </row>
    <row r="194" customFormat="false" ht="23.25" hidden="false" customHeight="true" outlineLevel="0" collapsed="false">
      <c r="A194" s="15" t="s">
        <v>980</v>
      </c>
      <c r="B194" s="16" t="s">
        <v>981</v>
      </c>
      <c r="C194" s="32"/>
    </row>
    <row r="195" customFormat="false" ht="23.25" hidden="false" customHeight="true" outlineLevel="0" collapsed="false"/>
    <row r="196" customFormat="false" ht="15" hidden="false" customHeight="true" outlineLevel="0" collapsed="false">
      <c r="A196" s="42" t="s">
        <v>982</v>
      </c>
      <c r="B196" s="43"/>
      <c r="C196" s="43"/>
    </row>
    <row r="197" customFormat="false" ht="23.25" hidden="false" customHeight="true" outlineLevel="0" collapsed="false">
      <c r="A197" s="15" t="s">
        <v>983</v>
      </c>
      <c r="B197" s="16" t="s">
        <v>984</v>
      </c>
      <c r="C197" s="32"/>
    </row>
    <row r="198" customFormat="false" ht="23.25" hidden="false" customHeight="true" outlineLevel="0" collapsed="false">
      <c r="A198" s="15" t="s">
        <v>985</v>
      </c>
      <c r="B198" s="16" t="s">
        <v>986</v>
      </c>
      <c r="C198" s="32"/>
    </row>
    <row r="199" customFormat="false" ht="21.75" hidden="false" customHeight="true" outlineLevel="0" collapsed="false">
      <c r="A199" s="15" t="s">
        <v>987</v>
      </c>
      <c r="B199" s="16" t="s">
        <v>988</v>
      </c>
      <c r="C199" s="32"/>
    </row>
    <row r="200" customFormat="false" ht="34.5" hidden="false" customHeight="true" outlineLevel="0" collapsed="false">
      <c r="A200" s="15" t="s">
        <v>989</v>
      </c>
      <c r="B200" s="16" t="s">
        <v>990</v>
      </c>
      <c r="C200" s="32"/>
    </row>
    <row r="201" customFormat="false" ht="23.25" hidden="false" customHeight="true" outlineLevel="0" collapsed="false">
      <c r="A201" s="15" t="s">
        <v>991</v>
      </c>
      <c r="B201" s="16" t="s">
        <v>992</v>
      </c>
      <c r="C201" s="32"/>
    </row>
    <row r="202" customFormat="false" ht="23.25" hidden="false" customHeight="true" outlineLevel="0" collapsed="false">
      <c r="A202" s="42" t="s">
        <v>993</v>
      </c>
      <c r="B202" s="43"/>
      <c r="C202" s="43"/>
    </row>
    <row r="203" customFormat="false" ht="23.25" hidden="false" customHeight="true" outlineLevel="0" collapsed="false">
      <c r="A203" s="15" t="s">
        <v>994</v>
      </c>
      <c r="B203" s="16" t="s">
        <v>995</v>
      </c>
      <c r="C203" s="32"/>
    </row>
    <row r="204" customFormat="false" ht="23.25" hidden="false" customHeight="true" outlineLevel="0" collapsed="false">
      <c r="A204" s="15" t="s">
        <v>996</v>
      </c>
      <c r="B204" s="16" t="s">
        <v>997</v>
      </c>
      <c r="C204" s="32"/>
    </row>
    <row r="205" customFormat="false" ht="21.75" hidden="false" customHeight="true" outlineLevel="0" collapsed="false">
      <c r="A205" s="15" t="s">
        <v>998</v>
      </c>
      <c r="B205" s="16" t="s">
        <v>999</v>
      </c>
      <c r="C205" s="32"/>
    </row>
    <row r="206" customFormat="false" ht="34.5" hidden="false" customHeight="true" outlineLevel="0" collapsed="false">
      <c r="A206" s="15" t="s">
        <v>1000</v>
      </c>
      <c r="B206" s="16" t="s">
        <v>1001</v>
      </c>
      <c r="C206" s="32"/>
    </row>
    <row r="207" customFormat="false" ht="23.25" hidden="false" customHeight="true" outlineLevel="0" collapsed="false"/>
    <row r="208" customFormat="false" ht="23.25" hidden="false" customHeight="true" outlineLevel="0" collapsed="false">
      <c r="A208" s="42" t="s">
        <v>1002</v>
      </c>
      <c r="B208" s="43"/>
      <c r="C208" s="43"/>
    </row>
    <row r="209" customFormat="false" ht="23.25" hidden="false" customHeight="true" outlineLevel="0" collapsed="false">
      <c r="A209" s="15" t="s">
        <v>1003</v>
      </c>
      <c r="B209" s="16" t="s">
        <v>1004</v>
      </c>
      <c r="C209" s="32"/>
    </row>
    <row r="210" customFormat="false" ht="23.25" hidden="false" customHeight="true" outlineLevel="0" collapsed="false">
      <c r="A210" s="15" t="s">
        <v>1005</v>
      </c>
      <c r="B210" s="16" t="s">
        <v>1006</v>
      </c>
      <c r="C210" s="32"/>
    </row>
    <row r="211" customFormat="false" ht="21.75" hidden="false" customHeight="true" outlineLevel="0" collapsed="false">
      <c r="A211" s="15" t="s">
        <v>1007</v>
      </c>
      <c r="B211" s="16" t="s">
        <v>1008</v>
      </c>
      <c r="C211" s="32"/>
    </row>
    <row r="212" customFormat="false" ht="34.5" hidden="false" customHeight="true" outlineLevel="0" collapsed="false">
      <c r="A212" s="15" t="s">
        <v>1009</v>
      </c>
      <c r="B212" s="16" t="s">
        <v>1010</v>
      </c>
      <c r="C212" s="32"/>
    </row>
    <row r="213" customFormat="false" ht="23.25" hidden="false" customHeight="true" outlineLevel="0" collapsed="false"/>
    <row r="214" customFormat="false" ht="23.25" hidden="false" customHeight="true" outlineLevel="0" collapsed="false">
      <c r="A214" s="42" t="s">
        <v>1011</v>
      </c>
      <c r="B214" s="43"/>
      <c r="C214" s="43"/>
    </row>
    <row r="215" customFormat="false" ht="23.25" hidden="false" customHeight="true" outlineLevel="0" collapsed="false">
      <c r="A215" s="15" t="s">
        <v>1012</v>
      </c>
      <c r="B215" s="16" t="s">
        <v>1013</v>
      </c>
      <c r="C215" s="32"/>
    </row>
    <row r="216" customFormat="false" ht="23.25" hidden="false" customHeight="true" outlineLevel="0" collapsed="false">
      <c r="A216" s="15" t="s">
        <v>1014</v>
      </c>
      <c r="B216" s="16" t="s">
        <v>1015</v>
      </c>
      <c r="C216" s="32"/>
    </row>
    <row r="217" customFormat="false" ht="21.75" hidden="false" customHeight="true" outlineLevel="0" collapsed="false">
      <c r="A217" s="15" t="s">
        <v>1016</v>
      </c>
      <c r="B217" s="16" t="s">
        <v>1017</v>
      </c>
      <c r="C217" s="32"/>
    </row>
    <row r="218" customFormat="false" ht="34.5" hidden="false" customHeight="true" outlineLevel="0" collapsed="false">
      <c r="A218" s="15" t="s">
        <v>1018</v>
      </c>
      <c r="B218" s="16" t="s">
        <v>1019</v>
      </c>
      <c r="C218" s="32"/>
    </row>
    <row r="219" customFormat="false" ht="23.25" hidden="false" customHeight="true" outlineLevel="0" collapsed="false"/>
    <row r="220" customFormat="false" ht="23.25" hidden="false" customHeight="true" outlineLevel="0" collapsed="false">
      <c r="A220" s="42" t="s">
        <v>1020</v>
      </c>
      <c r="B220" s="43"/>
      <c r="C220" s="43"/>
    </row>
    <row r="221" customFormat="false" ht="23.25" hidden="false" customHeight="true" outlineLevel="0" collapsed="false">
      <c r="A221" s="15" t="s">
        <v>1021</v>
      </c>
      <c r="B221" s="16" t="s">
        <v>1022</v>
      </c>
      <c r="C221" s="32"/>
    </row>
    <row r="222" customFormat="false" ht="23.25" hidden="false" customHeight="true" outlineLevel="0" collapsed="false">
      <c r="A222" s="15" t="s">
        <v>1023</v>
      </c>
      <c r="B222" s="16" t="s">
        <v>1024</v>
      </c>
      <c r="C222" s="32"/>
    </row>
    <row r="223" customFormat="false" ht="21.75" hidden="false" customHeight="true" outlineLevel="0" collapsed="false"/>
    <row r="224" customFormat="false" ht="34.5" hidden="false" customHeight="true" outlineLevel="0" collapsed="false">
      <c r="A224" s="42" t="s">
        <v>1025</v>
      </c>
      <c r="B224" s="43"/>
      <c r="C224" s="43"/>
    </row>
    <row r="225" customFormat="false" ht="23.25" hidden="false" customHeight="true" outlineLevel="0" collapsed="false">
      <c r="A225" s="15" t="s">
        <v>1026</v>
      </c>
      <c r="B225" s="16" t="s">
        <v>1027</v>
      </c>
      <c r="C225" s="32"/>
    </row>
    <row r="226" customFormat="false" ht="23.25" hidden="false" customHeight="true" outlineLevel="0" collapsed="false">
      <c r="A226" s="15" t="s">
        <v>1028</v>
      </c>
      <c r="B226" s="16" t="s">
        <v>1029</v>
      </c>
      <c r="C226" s="32"/>
    </row>
    <row r="227" customFormat="false" ht="21.75" hidden="false" customHeight="true" outlineLevel="0" collapsed="false">
      <c r="A227" s="15" t="s">
        <v>1030</v>
      </c>
      <c r="B227" s="16" t="s">
        <v>1031</v>
      </c>
      <c r="C227" s="32"/>
    </row>
    <row r="228" customFormat="false" ht="34.5" hidden="false" customHeight="true" outlineLevel="0" collapsed="false">
      <c r="A228" s="15" t="s">
        <v>1032</v>
      </c>
      <c r="B228" s="16" t="s">
        <v>1033</v>
      </c>
      <c r="C228" s="32"/>
    </row>
    <row r="229" customFormat="false" ht="23.25" hidden="false" customHeight="true" outlineLevel="0" collapsed="false"/>
    <row r="230" customFormat="false" ht="23.25" hidden="false" customHeight="true" outlineLevel="0" collapsed="false">
      <c r="A230" s="42" t="s">
        <v>1034</v>
      </c>
      <c r="B230" s="43"/>
      <c r="C230" s="43"/>
    </row>
    <row r="231" customFormat="false" ht="23.25" hidden="false" customHeight="true" outlineLevel="0" collapsed="false">
      <c r="A231" s="15" t="s">
        <v>1035</v>
      </c>
      <c r="B231" s="16" t="s">
        <v>1036</v>
      </c>
      <c r="C231" s="32"/>
    </row>
    <row r="232" customFormat="false" ht="23.25" hidden="false" customHeight="true" outlineLevel="0" collapsed="false">
      <c r="A232" s="15" t="s">
        <v>1037</v>
      </c>
      <c r="B232" s="16" t="s">
        <v>1038</v>
      </c>
      <c r="C232" s="32"/>
    </row>
    <row r="233" customFormat="false" ht="21.75" hidden="false" customHeight="true" outlineLevel="0" collapsed="false">
      <c r="A233" s="15" t="s">
        <v>1039</v>
      </c>
      <c r="B233" s="16" t="s">
        <v>1040</v>
      </c>
      <c r="C233" s="32"/>
    </row>
    <row r="234" customFormat="false" ht="34.5" hidden="false" customHeight="true" outlineLevel="0" collapsed="false">
      <c r="A234" s="15" t="s">
        <v>1041</v>
      </c>
      <c r="B234" s="16" t="s">
        <v>1042</v>
      </c>
      <c r="C234" s="32"/>
    </row>
    <row r="235" customFormat="false" ht="23.25" hidden="false" customHeight="true" outlineLevel="0" collapsed="false"/>
    <row r="236" customFormat="false" ht="23.25" hidden="false" customHeight="true" outlineLevel="0" collapsed="false"/>
    <row r="237" customFormat="false" ht="15" hidden="false" customHeight="true" outlineLevel="0" collapsed="false">
      <c r="A237" s="42" t="s">
        <v>1043</v>
      </c>
      <c r="B237" s="43"/>
      <c r="C237" s="43"/>
    </row>
    <row r="238" customFormat="false" ht="23.25" hidden="false" customHeight="true" outlineLevel="0" collapsed="false">
      <c r="A238" s="15" t="s">
        <v>869</v>
      </c>
      <c r="B238" s="16" t="s">
        <v>1044</v>
      </c>
      <c r="C238" s="32"/>
    </row>
    <row r="239" customFormat="false" ht="23.25" hidden="false" customHeight="true" outlineLevel="0" collapsed="false">
      <c r="A239" s="15" t="s">
        <v>1045</v>
      </c>
      <c r="B239" s="16" t="s">
        <v>1046</v>
      </c>
      <c r="C239" s="32"/>
    </row>
    <row r="240" customFormat="false" ht="21.75" hidden="false" customHeight="true" outlineLevel="0" collapsed="false">
      <c r="A240" s="15" t="s">
        <v>1047</v>
      </c>
      <c r="B240" s="16" t="s">
        <v>1048</v>
      </c>
      <c r="C240" s="32"/>
    </row>
    <row r="241" customFormat="false" ht="34.5" hidden="false" customHeight="true" outlineLevel="0" collapsed="false">
      <c r="A241" s="15" t="s">
        <v>1049</v>
      </c>
      <c r="B241" s="16" t="s">
        <v>1050</v>
      </c>
      <c r="C241" s="32"/>
    </row>
    <row r="242" customFormat="false" ht="23.25" hidden="false" customHeight="true" outlineLevel="0" collapsed="false">
      <c r="A242" s="15" t="s">
        <v>1051</v>
      </c>
      <c r="B242" s="16" t="s">
        <v>1052</v>
      </c>
      <c r="C242" s="32"/>
    </row>
    <row r="243" customFormat="false" ht="23.25" hidden="false" customHeight="true" outlineLevel="0" collapsed="false">
      <c r="A243" s="15" t="s">
        <v>1053</v>
      </c>
      <c r="B243" s="16" t="s">
        <v>1054</v>
      </c>
      <c r="C243" s="32"/>
    </row>
    <row r="245" customFormat="false" ht="15" hidden="false" customHeight="true" outlineLevel="0" collapsed="false">
      <c r="A245" s="42" t="s">
        <v>1055</v>
      </c>
      <c r="B245" s="43"/>
      <c r="C245" s="43"/>
    </row>
    <row r="246" customFormat="false" ht="23.25" hidden="false" customHeight="true" outlineLevel="0" collapsed="false">
      <c r="A246" s="15" t="s">
        <v>1056</v>
      </c>
      <c r="B246" s="16" t="s">
        <v>1057</v>
      </c>
      <c r="C246" s="32"/>
    </row>
    <row r="247" customFormat="false" ht="23.25" hidden="false" customHeight="true" outlineLevel="0" collapsed="false">
      <c r="A247" s="15" t="s">
        <v>1023</v>
      </c>
      <c r="B247" s="16" t="s">
        <v>1058</v>
      </c>
      <c r="C247" s="32"/>
    </row>
    <row r="248" customFormat="false" ht="21.75" hidden="false" customHeight="true" outlineLevel="0" collapsed="false">
      <c r="A248" s="15" t="s">
        <v>1059</v>
      </c>
      <c r="B248" s="16" t="s">
        <v>1060</v>
      </c>
      <c r="C248" s="32"/>
    </row>
    <row r="249" customFormat="false" ht="34.5" hidden="false" customHeight="true" outlineLevel="0" collapsed="false">
      <c r="A249" s="15" t="s">
        <v>1061</v>
      </c>
      <c r="B249" s="16" t="s">
        <v>1062</v>
      </c>
      <c r="C249" s="32"/>
    </row>
    <row r="250" customFormat="false" ht="23.25" hidden="false" customHeight="true" outlineLevel="0" collapsed="false"/>
    <row r="251" customFormat="false" ht="23.25" hidden="false" customHeight="true" outlineLevel="0" collapsed="false"/>
    <row r="252" customFormat="false" ht="15" hidden="false" customHeight="true" outlineLevel="0" collapsed="false">
      <c r="A252" s="42" t="s">
        <v>1063</v>
      </c>
      <c r="B252" s="43"/>
      <c r="C252" s="43"/>
    </row>
    <row r="253" customFormat="false" ht="23.25" hidden="false" customHeight="true" outlineLevel="0" collapsed="false">
      <c r="A253" s="15" t="s">
        <v>1064</v>
      </c>
      <c r="B253" s="16" t="s">
        <v>1065</v>
      </c>
      <c r="C253" s="32"/>
    </row>
    <row r="254" customFormat="false" ht="23.25" hidden="false" customHeight="true" outlineLevel="0" collapsed="false">
      <c r="A254" s="15" t="s">
        <v>1066</v>
      </c>
      <c r="B254" s="16" t="s">
        <v>1067</v>
      </c>
      <c r="C254" s="32"/>
    </row>
    <row r="255" customFormat="false" ht="21.75" hidden="false" customHeight="true" outlineLevel="0" collapsed="false">
      <c r="A255" s="15" t="s">
        <v>1068</v>
      </c>
      <c r="B255" s="16" t="s">
        <v>1069</v>
      </c>
      <c r="C255" s="32"/>
    </row>
    <row r="256" customFormat="false" ht="34.5" hidden="false" customHeight="true" outlineLevel="0" collapsed="false">
      <c r="A256" s="15" t="s">
        <v>1070</v>
      </c>
      <c r="B256" s="16" t="s">
        <v>1071</v>
      </c>
      <c r="C256" s="32"/>
    </row>
    <row r="257" customFormat="false" ht="23.25" hidden="false" customHeight="true" outlineLevel="0" collapsed="false">
      <c r="A257" s="15" t="s">
        <v>1072</v>
      </c>
      <c r="B257" s="16" t="s">
        <v>1073</v>
      </c>
      <c r="C257" s="32"/>
    </row>
    <row r="258" customFormat="false" ht="23.25" hidden="false" customHeight="true" outlineLevel="0" collapsed="false">
      <c r="A258" s="15" t="s">
        <v>1074</v>
      </c>
      <c r="B258" s="16" t="s">
        <v>1075</v>
      </c>
      <c r="C258" s="32"/>
    </row>
    <row r="259" customFormat="false" ht="15" hidden="false" customHeight="true" outlineLevel="0" collapsed="false">
      <c r="A259" s="42" t="s">
        <v>1076</v>
      </c>
      <c r="B259" s="43"/>
      <c r="C259" s="43"/>
    </row>
    <row r="260" customFormat="false" ht="23.25" hidden="false" customHeight="true" outlineLevel="0" collapsed="false">
      <c r="A260" s="15" t="s">
        <v>1077</v>
      </c>
      <c r="B260" s="16" t="s">
        <v>1078</v>
      </c>
      <c r="C260" s="32"/>
    </row>
    <row r="261" customFormat="false" ht="23.25" hidden="false" customHeight="true" outlineLevel="0" collapsed="false">
      <c r="A261" s="15" t="s">
        <v>1079</v>
      </c>
      <c r="B261" s="16" t="s">
        <v>1080</v>
      </c>
      <c r="C261" s="32"/>
    </row>
    <row r="262" customFormat="false" ht="21.75" hidden="false" customHeight="true" outlineLevel="0" collapsed="false">
      <c r="A262" s="15" t="s">
        <v>1081</v>
      </c>
      <c r="B262" s="16" t="s">
        <v>1082</v>
      </c>
      <c r="C262" s="32"/>
    </row>
    <row r="263" customFormat="false" ht="34.5" hidden="false" customHeight="true" outlineLevel="0" collapsed="false">
      <c r="A263" s="15" t="s">
        <v>1083</v>
      </c>
      <c r="B263" s="16" t="s">
        <v>1084</v>
      </c>
      <c r="C263" s="32"/>
    </row>
    <row r="264" customFormat="false" ht="23.25" hidden="false" customHeight="true" outlineLevel="0" collapsed="false"/>
    <row r="265" customFormat="false" ht="23.25" hidden="false" customHeight="true" outlineLevel="0" collapsed="false">
      <c r="A265" s="42" t="s">
        <v>1085</v>
      </c>
      <c r="B265" s="43"/>
      <c r="C265" s="43"/>
    </row>
    <row r="266" customFormat="false" ht="23.25" hidden="false" customHeight="true" outlineLevel="0" collapsed="false">
      <c r="A266" s="15" t="s">
        <v>1086</v>
      </c>
      <c r="B266" s="16" t="s">
        <v>1087</v>
      </c>
      <c r="C266" s="32"/>
    </row>
    <row r="267" customFormat="false" ht="23.25" hidden="false" customHeight="true" outlineLevel="0" collapsed="false">
      <c r="A267" s="15" t="s">
        <v>1088</v>
      </c>
      <c r="B267" s="16" t="s">
        <v>1089</v>
      </c>
      <c r="C267" s="32"/>
    </row>
    <row r="268" customFormat="false" ht="21.75" hidden="false" customHeight="true" outlineLevel="0" collapsed="false">
      <c r="A268" s="15" t="s">
        <v>1090</v>
      </c>
      <c r="B268" s="16" t="s">
        <v>1091</v>
      </c>
      <c r="C268" s="32"/>
    </row>
    <row r="269" customFormat="false" ht="34.5" hidden="false" customHeight="true" outlineLevel="0" collapsed="false">
      <c r="A269" s="15" t="s">
        <v>1092</v>
      </c>
      <c r="B269" s="16" t="s">
        <v>1093</v>
      </c>
      <c r="C269" s="32"/>
    </row>
    <row r="270" customFormat="false" ht="23.25" hidden="false" customHeight="true" outlineLevel="0" collapsed="false"/>
    <row r="271" customFormat="false" ht="23.25" hidden="false" customHeight="true" outlineLevel="0" collapsed="false">
      <c r="A271" s="42" t="s">
        <v>1094</v>
      </c>
      <c r="B271" s="43"/>
      <c r="C271" s="43"/>
    </row>
    <row r="272" customFormat="false" ht="23.25" hidden="false" customHeight="true" outlineLevel="0" collapsed="false">
      <c r="A272" s="15" t="s">
        <v>1095</v>
      </c>
      <c r="B272" s="16" t="s">
        <v>1096</v>
      </c>
      <c r="C272" s="32"/>
    </row>
    <row r="273" customFormat="false" ht="23.25" hidden="false" customHeight="true" outlineLevel="0" collapsed="false">
      <c r="A273" s="15" t="s">
        <v>1097</v>
      </c>
      <c r="B273" s="16" t="s">
        <v>1098</v>
      </c>
      <c r="C273" s="32"/>
    </row>
    <row r="274" customFormat="false" ht="21.75" hidden="false" customHeight="true" outlineLevel="0" collapsed="false"/>
    <row r="275" customFormat="false" ht="34.5" hidden="false" customHeight="true" outlineLevel="0" collapsed="false">
      <c r="A275" s="42" t="s">
        <v>1099</v>
      </c>
      <c r="B275" s="43"/>
      <c r="C275" s="43"/>
    </row>
    <row r="276" customFormat="false" ht="23.25" hidden="false" customHeight="true" outlineLevel="0" collapsed="false">
      <c r="A276" s="15" t="s">
        <v>1100</v>
      </c>
      <c r="B276" s="16" t="s">
        <v>1101</v>
      </c>
      <c r="C276" s="32"/>
    </row>
    <row r="277" customFormat="false" ht="23.25" hidden="false" customHeight="true" outlineLevel="0" collapsed="false">
      <c r="A277" s="15" t="s">
        <v>1102</v>
      </c>
      <c r="B277" s="16" t="s">
        <v>1103</v>
      </c>
      <c r="C277" s="32"/>
    </row>
    <row r="278" customFormat="false" ht="21.75" hidden="false" customHeight="true" outlineLevel="0" collapsed="false">
      <c r="A278" s="15" t="s">
        <v>1104</v>
      </c>
      <c r="B278" s="16" t="s">
        <v>1105</v>
      </c>
      <c r="C278" s="32"/>
    </row>
    <row r="279" customFormat="false" ht="34.5" hidden="false" customHeight="true" outlineLevel="0" collapsed="false"/>
    <row r="280" customFormat="false" ht="23.25" hidden="false" customHeight="true" outlineLevel="0" collapsed="false">
      <c r="A280" s="42" t="s">
        <v>1106</v>
      </c>
      <c r="B280" s="43"/>
      <c r="C280" s="43"/>
    </row>
    <row r="281" customFormat="false" ht="23.25" hidden="false" customHeight="true" outlineLevel="0" collapsed="false">
      <c r="A281" s="15" t="s">
        <v>1107</v>
      </c>
      <c r="B281" s="16" t="s">
        <v>1108</v>
      </c>
      <c r="C281" s="32"/>
    </row>
    <row r="282" customFormat="false" ht="23.25" hidden="false" customHeight="true" outlineLevel="0" collapsed="false">
      <c r="A282" s="15" t="s">
        <v>1109</v>
      </c>
      <c r="B282" s="16" t="s">
        <v>1110</v>
      </c>
      <c r="C282" s="32"/>
    </row>
    <row r="283" customFormat="false" ht="21.75" hidden="false" customHeight="true" outlineLevel="0" collapsed="false">
      <c r="A283" s="15" t="s">
        <v>1111</v>
      </c>
      <c r="B283" s="16" t="s">
        <v>1112</v>
      </c>
      <c r="C283" s="32"/>
    </row>
    <row r="284" customFormat="false" ht="34.5" hidden="false" customHeight="true" outlineLevel="0" collapsed="false">
      <c r="A284" s="42" t="s">
        <v>1113</v>
      </c>
      <c r="B284" s="43"/>
      <c r="C284" s="43"/>
    </row>
    <row r="285" customFormat="false" ht="23.25" hidden="false" customHeight="true" outlineLevel="0" collapsed="false">
      <c r="A285" s="15" t="s">
        <v>1114</v>
      </c>
      <c r="B285" s="16" t="s">
        <v>1115</v>
      </c>
      <c r="C285" s="32"/>
    </row>
    <row r="286" customFormat="false" ht="23.25" hidden="false" customHeight="true" outlineLevel="0" collapsed="false"/>
    <row r="287" customFormat="false" ht="21.75" hidden="false" customHeight="true" outlineLevel="0" collapsed="false">
      <c r="A287" s="42" t="s">
        <v>1116</v>
      </c>
      <c r="B287" s="43"/>
      <c r="C287" s="43"/>
    </row>
    <row r="288" customFormat="false" ht="34.5" hidden="false" customHeight="true" outlineLevel="0" collapsed="false">
      <c r="A288" s="15" t="s">
        <v>1117</v>
      </c>
      <c r="B288" s="16" t="s">
        <v>1118</v>
      </c>
      <c r="C288" s="32"/>
    </row>
    <row r="289" customFormat="false" ht="23.25" hidden="false" customHeight="true" outlineLevel="0" collapsed="false">
      <c r="A289" s="15" t="s">
        <v>1119</v>
      </c>
      <c r="B289" s="16" t="s">
        <v>1120</v>
      </c>
      <c r="C289" s="32"/>
    </row>
    <row r="290" customFormat="false" ht="23.25" hidden="false" customHeight="true" outlineLevel="0" collapsed="false">
      <c r="A290" s="15" t="s">
        <v>1121</v>
      </c>
      <c r="B290" s="16" t="s">
        <v>1122</v>
      </c>
      <c r="C290" s="32"/>
    </row>
    <row r="291" customFormat="false" ht="34.5" hidden="false" customHeight="true" outlineLevel="0" collapsed="false">
      <c r="A291" s="15" t="s">
        <v>1123</v>
      </c>
      <c r="B291" s="16" t="s">
        <v>1124</v>
      </c>
      <c r="C291" s="32"/>
    </row>
    <row r="292" customFormat="false" ht="23.25" hidden="false" customHeight="true" outlineLevel="0" collapsed="false">
      <c r="A292" s="42" t="s">
        <v>1125</v>
      </c>
      <c r="B292" s="43"/>
      <c r="C292" s="43"/>
    </row>
    <row r="293" customFormat="false" ht="23.25" hidden="false" customHeight="true" outlineLevel="0" collapsed="false">
      <c r="A293" s="15" t="s">
        <v>1126</v>
      </c>
      <c r="B293" s="16" t="s">
        <v>1127</v>
      </c>
      <c r="C293" s="32"/>
    </row>
    <row r="294" customFormat="false" ht="23.25" hidden="false" customHeight="true" outlineLevel="0" collapsed="false"/>
    <row r="295" customFormat="false" ht="21.75" hidden="false" customHeight="true" outlineLevel="0" collapsed="false">
      <c r="A295" s="42" t="s">
        <v>1128</v>
      </c>
      <c r="B295" s="43"/>
      <c r="C295" s="43"/>
    </row>
    <row r="296" customFormat="false" ht="34.5" hidden="false" customHeight="true" outlineLevel="0" collapsed="false">
      <c r="A296" s="15" t="s">
        <v>1129</v>
      </c>
      <c r="B296" s="16" t="s">
        <v>1130</v>
      </c>
      <c r="C296" s="32"/>
    </row>
    <row r="297" customFormat="false" ht="23.25" hidden="false" customHeight="true" outlineLevel="0" collapsed="false">
      <c r="A297" s="15" t="s">
        <v>1131</v>
      </c>
      <c r="B297" s="16" t="s">
        <v>1132</v>
      </c>
      <c r="C297" s="32"/>
    </row>
    <row r="298" customFormat="false" ht="23.25" hidden="false" customHeight="true" outlineLevel="0" collapsed="false">
      <c r="A298" s="15" t="s">
        <v>1133</v>
      </c>
      <c r="B298" s="16" t="s">
        <v>1134</v>
      </c>
      <c r="C298" s="32"/>
    </row>
    <row r="299" customFormat="false" ht="34.5" hidden="false" customHeight="true" outlineLevel="0" collapsed="false"/>
    <row r="300" customFormat="false" ht="23.25" hidden="false" customHeight="true" outlineLevel="0" collapsed="false">
      <c r="A300" s="42" t="s">
        <v>1135</v>
      </c>
      <c r="B300" s="43"/>
      <c r="C300" s="43"/>
    </row>
    <row r="301" customFormat="false" ht="23.25" hidden="false" customHeight="true" outlineLevel="0" collapsed="false">
      <c r="A301" s="15" t="s">
        <v>1136</v>
      </c>
      <c r="B301" s="16" t="s">
        <v>1137</v>
      </c>
      <c r="C301" s="32"/>
    </row>
    <row r="302" customFormat="false" ht="23.25" hidden="false" customHeight="true" outlineLevel="0" collapsed="false">
      <c r="A302" s="15" t="s">
        <v>1138</v>
      </c>
      <c r="B302" s="16" t="s">
        <v>1139</v>
      </c>
      <c r="C302" s="32"/>
    </row>
    <row r="303" customFormat="false" ht="21.75" hidden="false" customHeight="true" outlineLevel="0" collapsed="false">
      <c r="A303" s="15" t="s">
        <v>1140</v>
      </c>
      <c r="B303" s="16" t="s">
        <v>1141</v>
      </c>
      <c r="C303" s="32"/>
    </row>
    <row r="304" customFormat="false" ht="34.5" hidden="false" customHeight="true" outlineLevel="0" collapsed="false">
      <c r="A304" s="15" t="s">
        <v>1142</v>
      </c>
      <c r="B304" s="16" t="s">
        <v>1143</v>
      </c>
      <c r="C304" s="32"/>
    </row>
    <row r="305" customFormat="false" ht="23.25" hidden="false" customHeight="true" outlineLevel="0" collapsed="false">
      <c r="A305" s="15" t="s">
        <v>1144</v>
      </c>
      <c r="B305" s="16" t="s">
        <v>1145</v>
      </c>
      <c r="C305" s="32"/>
    </row>
    <row r="306" customFormat="false" ht="23.25" hidden="false" customHeight="true" outlineLevel="0" collapsed="false">
      <c r="A306" s="15" t="s">
        <v>1146</v>
      </c>
      <c r="B306" s="16" t="s">
        <v>1147</v>
      </c>
      <c r="C306" s="32"/>
    </row>
    <row r="307" customFormat="false" ht="45.75" hidden="false" customHeight="true" outlineLevel="0" collapsed="false">
      <c r="A307" s="15" t="s">
        <v>1148</v>
      </c>
      <c r="B307" s="16" t="s">
        <v>1149</v>
      </c>
      <c r="C307" s="32"/>
    </row>
    <row r="308" customFormat="false" ht="15" hidden="false" customHeight="true" outlineLevel="0" collapsed="false">
      <c r="A308" s="42" t="s">
        <v>1150</v>
      </c>
      <c r="B308" s="43"/>
      <c r="C308" s="43"/>
    </row>
    <row r="309" customFormat="false" ht="23.25" hidden="false" customHeight="true" outlineLevel="0" collapsed="false">
      <c r="A309" s="15" t="s">
        <v>1151</v>
      </c>
      <c r="B309" s="16" t="s">
        <v>1152</v>
      </c>
      <c r="C309" s="32"/>
    </row>
    <row r="310" customFormat="false" ht="23.25" hidden="false" customHeight="true" outlineLevel="0" collapsed="false">
      <c r="A310" s="15" t="s">
        <v>1153</v>
      </c>
      <c r="B310" s="16" t="s">
        <v>1154</v>
      </c>
      <c r="C310" s="32"/>
    </row>
    <row r="311" customFormat="false" ht="21.75" hidden="false" customHeight="true" outlineLevel="0" collapsed="false">
      <c r="A311" s="15" t="s">
        <v>1155</v>
      </c>
      <c r="B311" s="16" t="s">
        <v>1156</v>
      </c>
      <c r="C311" s="32"/>
    </row>
    <row r="312" customFormat="false" ht="34.5" hidden="false" customHeight="true" outlineLevel="0" collapsed="false">
      <c r="A312" s="15" t="s">
        <v>1157</v>
      </c>
      <c r="B312" s="16" t="s">
        <v>1158</v>
      </c>
      <c r="C312" s="32"/>
    </row>
    <row r="313" customFormat="false" ht="23.25" hidden="false" customHeight="true" outlineLevel="0" collapsed="false">
      <c r="A313" s="42" t="s">
        <v>1159</v>
      </c>
      <c r="B313" s="43"/>
      <c r="C313" s="43"/>
    </row>
    <row r="314" customFormat="false" ht="23.25" hidden="false" customHeight="true" outlineLevel="0" collapsed="false">
      <c r="A314" s="15" t="s">
        <v>1160</v>
      </c>
      <c r="B314" s="16" t="s">
        <v>1161</v>
      </c>
      <c r="C314" s="32"/>
    </row>
    <row r="315" customFormat="false" ht="23.25" hidden="false" customHeight="true" outlineLevel="0" collapsed="false">
      <c r="A315" s="15" t="s">
        <v>1162</v>
      </c>
      <c r="B315" s="16" t="s">
        <v>1163</v>
      </c>
      <c r="C315" s="32"/>
    </row>
    <row r="316" customFormat="false" ht="21.75" hidden="false" customHeight="true" outlineLevel="0" collapsed="false"/>
    <row r="317" customFormat="false" ht="34.5" hidden="false" customHeight="true" outlineLevel="0" collapsed="false"/>
    <row r="318" customFormat="false" ht="23.25" hidden="false" customHeight="true" outlineLevel="0" collapsed="false">
      <c r="A318" s="42" t="s">
        <v>1164</v>
      </c>
      <c r="B318" s="43"/>
      <c r="C318" s="43"/>
    </row>
    <row r="319" customFormat="false" ht="23.25" hidden="false" customHeight="true" outlineLevel="0" collapsed="false">
      <c r="A319" s="15" t="s">
        <v>1165</v>
      </c>
      <c r="B319" s="16" t="s">
        <v>1166</v>
      </c>
      <c r="C319" s="32"/>
    </row>
    <row r="320" customFormat="false" ht="23.25" hidden="false" customHeight="true" outlineLevel="0" collapsed="false">
      <c r="A320" s="15" t="s">
        <v>1167</v>
      </c>
      <c r="B320" s="16" t="s">
        <v>1168</v>
      </c>
      <c r="C320" s="32"/>
    </row>
    <row r="321" customFormat="false" ht="21.75" hidden="false" customHeight="true" outlineLevel="0" collapsed="false">
      <c r="A321" s="15" t="s">
        <v>1169</v>
      </c>
      <c r="B321" s="16" t="s">
        <v>1170</v>
      </c>
      <c r="C321" s="32"/>
    </row>
    <row r="322" customFormat="false" ht="34.5" hidden="false" customHeight="true" outlineLevel="0" collapsed="false">
      <c r="A322" s="15" t="s">
        <v>1171</v>
      </c>
      <c r="B322" s="16" t="s">
        <v>1172</v>
      </c>
      <c r="C322" s="32"/>
    </row>
    <row r="323" customFormat="false" ht="23.25" hidden="false" customHeight="true" outlineLevel="0" collapsed="false">
      <c r="A323" s="15" t="s">
        <v>1173</v>
      </c>
      <c r="B323" s="16" t="s">
        <v>1174</v>
      </c>
      <c r="C323" s="32"/>
    </row>
    <row r="324" customFormat="false" ht="23.25" hidden="false" customHeight="true" outlineLevel="0" collapsed="false">
      <c r="A324" s="15" t="s">
        <v>1175</v>
      </c>
      <c r="B324" s="16" t="s">
        <v>1176</v>
      </c>
      <c r="C324" s="32"/>
    </row>
    <row r="326" customFormat="false" ht="15" hidden="false" customHeight="true" outlineLevel="0" collapsed="false">
      <c r="A326" s="44" t="s">
        <v>1177</v>
      </c>
      <c r="B326" s="45"/>
      <c r="C326" s="45"/>
    </row>
    <row r="327" customFormat="false" ht="23.25" hidden="false" customHeight="true" outlineLevel="0" collapsed="false">
      <c r="A327" s="15" t="s">
        <v>1178</v>
      </c>
      <c r="B327" s="16" t="s">
        <v>1179</v>
      </c>
      <c r="C327" s="32"/>
    </row>
    <row r="328" customFormat="false" ht="23.25" hidden="false" customHeight="true" outlineLevel="0" collapsed="false">
      <c r="A328" s="15" t="s">
        <v>1180</v>
      </c>
      <c r="B328" s="16" t="s">
        <v>1181</v>
      </c>
      <c r="C328" s="32"/>
    </row>
    <row r="329" customFormat="false" ht="21.75" hidden="false" customHeight="true" outlineLevel="0" collapsed="false">
      <c r="A329" s="15" t="s">
        <v>1182</v>
      </c>
      <c r="B329" s="16" t="s">
        <v>1183</v>
      </c>
      <c r="C329" s="32"/>
    </row>
    <row r="330" customFormat="false" ht="34.5" hidden="false" customHeight="true" outlineLevel="0" collapsed="false">
      <c r="A330" s="15" t="s">
        <v>1184</v>
      </c>
      <c r="B330" s="16" t="s">
        <v>1185</v>
      </c>
      <c r="C330" s="32"/>
    </row>
    <row r="331" customFormat="false" ht="23.25" hidden="false" customHeight="true" outlineLevel="0" collapsed="false">
      <c r="A331" s="15" t="s">
        <v>1186</v>
      </c>
      <c r="B331" s="16" t="s">
        <v>1187</v>
      </c>
      <c r="C331" s="32"/>
    </row>
    <row r="332" customFormat="false" ht="23.25" hidden="false" customHeight="true" outlineLevel="0" collapsed="false">
      <c r="A332" s="15" t="s">
        <v>1188</v>
      </c>
      <c r="B332" s="16" t="s">
        <v>1189</v>
      </c>
      <c r="C332" s="32"/>
    </row>
    <row r="333" customFormat="false" ht="45.75" hidden="false" customHeight="true" outlineLevel="0" collapsed="false">
      <c r="A333" s="15" t="s">
        <v>1190</v>
      </c>
      <c r="B333" s="16" t="s">
        <v>1191</v>
      </c>
      <c r="C333" s="32"/>
    </row>
    <row r="334" customFormat="false" ht="57" hidden="false" customHeight="true" outlineLevel="0" collapsed="false">
      <c r="A334" s="15" t="s">
        <v>1192</v>
      </c>
      <c r="B334" s="16" t="s">
        <v>1193</v>
      </c>
      <c r="C334" s="32"/>
    </row>
    <row r="335" customFormat="false" ht="15" hidden="false" customHeight="true" outlineLevel="0" collapsed="false">
      <c r="A335" s="44" t="s">
        <v>1194</v>
      </c>
      <c r="B335" s="45"/>
      <c r="C335" s="45"/>
    </row>
    <row r="336" customFormat="false" ht="23.25" hidden="false" customHeight="true" outlineLevel="0" collapsed="false">
      <c r="A336" s="15" t="s">
        <v>1195</v>
      </c>
      <c r="B336" s="16" t="s">
        <v>1196</v>
      </c>
      <c r="C336" s="32"/>
    </row>
    <row r="337" customFormat="false" ht="23.25" hidden="false" customHeight="true" outlineLevel="0" collapsed="false">
      <c r="A337" s="15" t="s">
        <v>1197</v>
      </c>
      <c r="B337" s="16" t="s">
        <v>1198</v>
      </c>
      <c r="C337" s="32"/>
    </row>
    <row r="338" customFormat="false" ht="21.75" hidden="false" customHeight="true" outlineLevel="0" collapsed="false">
      <c r="A338" s="15" t="s">
        <v>1199</v>
      </c>
      <c r="B338" s="16" t="s">
        <v>1200</v>
      </c>
      <c r="C338" s="32"/>
    </row>
    <row r="339" customFormat="false" ht="34.5" hidden="false" customHeight="true" outlineLevel="0" collapsed="false">
      <c r="A339" s="15" t="s">
        <v>1201</v>
      </c>
      <c r="B339" s="16" t="s">
        <v>1202</v>
      </c>
      <c r="C339" s="32"/>
    </row>
    <row r="340" customFormat="false" ht="23.25" hidden="false" customHeight="true" outlineLevel="0" collapsed="false">
      <c r="A340" s="15" t="s">
        <v>1203</v>
      </c>
      <c r="B340" s="16" t="s">
        <v>1204</v>
      </c>
      <c r="C340" s="32"/>
    </row>
    <row r="341" customFormat="false" ht="23.25" hidden="false" customHeight="true" outlineLevel="0" collapsed="false">
      <c r="A341" s="15" t="s">
        <v>1205</v>
      </c>
      <c r="B341" s="16" t="s">
        <v>1206</v>
      </c>
      <c r="C341" s="32"/>
    </row>
    <row r="342" customFormat="false" ht="34.5" hidden="false" customHeight="true" outlineLevel="0" collapsed="false">
      <c r="A342" s="15" t="s">
        <v>1207</v>
      </c>
      <c r="B342" s="16" t="s">
        <v>1208</v>
      </c>
      <c r="C342" s="32"/>
    </row>
    <row r="343" customFormat="false" ht="45.75" hidden="false" customHeight="true" outlineLevel="0" collapsed="false">
      <c r="A343" s="15" t="s">
        <v>1209</v>
      </c>
      <c r="B343" s="16" t="s">
        <v>1210</v>
      </c>
      <c r="C343" s="32"/>
    </row>
    <row r="344" customFormat="false" ht="34.5" hidden="false" customHeight="true" outlineLevel="0" collapsed="false">
      <c r="A344" s="15" t="s">
        <v>1211</v>
      </c>
      <c r="B344" s="16" t="s">
        <v>1212</v>
      </c>
      <c r="C344" s="32"/>
    </row>
    <row r="345" customFormat="false" ht="57" hidden="false" customHeight="true" outlineLevel="0" collapsed="false">
      <c r="A345" s="15" t="s">
        <v>1213</v>
      </c>
      <c r="B345" s="16" t="s">
        <v>1214</v>
      </c>
      <c r="C345" s="32"/>
    </row>
    <row r="347" customFormat="false" ht="15" hidden="false" customHeight="true" outlineLevel="0" collapsed="false">
      <c r="A347" s="42" t="s">
        <v>1215</v>
      </c>
      <c r="B347" s="43"/>
      <c r="C347" s="43"/>
    </row>
    <row r="348" customFormat="false" ht="23.25" hidden="false" customHeight="true" outlineLevel="0" collapsed="false">
      <c r="A348" s="15" t="s">
        <v>1216</v>
      </c>
      <c r="B348" s="16" t="s">
        <v>1217</v>
      </c>
      <c r="C348" s="32"/>
    </row>
    <row r="349" customFormat="false" ht="23.25" hidden="false" customHeight="true" outlineLevel="0" collapsed="false">
      <c r="A349" s="15" t="s">
        <v>1218</v>
      </c>
      <c r="B349" s="16" t="s">
        <v>1219</v>
      </c>
      <c r="C349" s="32"/>
    </row>
    <row r="350" customFormat="false" ht="21.75" hidden="false" customHeight="true" outlineLevel="0" collapsed="false">
      <c r="A350" s="15" t="s">
        <v>1220</v>
      </c>
      <c r="B350" s="16" t="s">
        <v>1221</v>
      </c>
      <c r="C350" s="32"/>
    </row>
    <row r="351" customFormat="false" ht="34.5" hidden="false" customHeight="true" outlineLevel="0" collapsed="false">
      <c r="A351" s="15" t="s">
        <v>1222</v>
      </c>
      <c r="B351" s="16" t="s">
        <v>1223</v>
      </c>
      <c r="C351" s="32"/>
    </row>
    <row r="352" customFormat="false" ht="23.25" hidden="false" customHeight="true" outlineLevel="0" collapsed="false">
      <c r="A352" s="15" t="s">
        <v>1224</v>
      </c>
      <c r="B352" s="16" t="s">
        <v>1225</v>
      </c>
      <c r="C352" s="32"/>
    </row>
    <row r="353" customFormat="false" ht="23.25" hidden="false" customHeight="true" outlineLevel="0" collapsed="false">
      <c r="A353" s="15" t="s">
        <v>1226</v>
      </c>
      <c r="B353" s="16" t="s">
        <v>1227</v>
      </c>
      <c r="C353" s="32"/>
    </row>
    <row r="354" customFormat="false" ht="34.5" hidden="false" customHeight="true" outlineLevel="0" collapsed="false">
      <c r="A354" s="15" t="s">
        <v>1228</v>
      </c>
      <c r="B354" s="16" t="s">
        <v>1229</v>
      </c>
      <c r="C354" s="32"/>
    </row>
    <row r="355" customFormat="false" ht="45.75" hidden="false" customHeight="true" outlineLevel="0" collapsed="false">
      <c r="A355" s="15" t="s">
        <v>1230</v>
      </c>
      <c r="B355" s="16" t="s">
        <v>1231</v>
      </c>
      <c r="C355" s="32"/>
    </row>
    <row r="356" customFormat="false" ht="45.75" hidden="false" customHeight="true" outlineLevel="0" collapsed="false">
      <c r="A356" s="15" t="s">
        <v>1232</v>
      </c>
      <c r="B356" s="16" t="s">
        <v>1233</v>
      </c>
      <c r="C356" s="32"/>
    </row>
    <row r="360" customFormat="false" ht="15" hidden="false" customHeight="true" outlineLevel="0" collapsed="false">
      <c r="A360" s="42" t="s">
        <v>1234</v>
      </c>
      <c r="B360" s="43"/>
      <c r="C360" s="43"/>
    </row>
    <row r="361" customFormat="false" ht="23.25" hidden="false" customHeight="true" outlineLevel="0" collapsed="false">
      <c r="A361" s="15" t="s">
        <v>1235</v>
      </c>
      <c r="B361" s="16" t="s">
        <v>1236</v>
      </c>
      <c r="C361" s="32"/>
    </row>
    <row r="362" customFormat="false" ht="23.25" hidden="false" customHeight="true" outlineLevel="0" collapsed="false">
      <c r="A362" s="15" t="s">
        <v>1237</v>
      </c>
      <c r="B362" s="16" t="s">
        <v>1238</v>
      </c>
      <c r="C362" s="32"/>
    </row>
    <row r="363" customFormat="false" ht="21.75" hidden="false" customHeight="true" outlineLevel="0" collapsed="false">
      <c r="A363" s="15" t="s">
        <v>1239</v>
      </c>
      <c r="B363" s="16" t="s">
        <v>1240</v>
      </c>
      <c r="C363" s="32"/>
    </row>
    <row r="364" customFormat="false" ht="34.5" hidden="false" customHeight="true" outlineLevel="0" collapsed="false">
      <c r="A364" s="15" t="s">
        <v>1241</v>
      </c>
      <c r="B364" s="16" t="s">
        <v>1242</v>
      </c>
      <c r="C364" s="32"/>
    </row>
    <row r="365" customFormat="false" ht="23.25" hidden="false" customHeight="true" outlineLevel="0" collapsed="false">
      <c r="A365" s="15" t="s">
        <v>1243</v>
      </c>
      <c r="B365" s="16" t="s">
        <v>1244</v>
      </c>
      <c r="C365" s="32"/>
    </row>
    <row r="366" customFormat="false" ht="23.25" hidden="false" customHeight="true" outlineLevel="0" collapsed="false">
      <c r="A366" s="15" t="s">
        <v>1245</v>
      </c>
      <c r="B366" s="16" t="s">
        <v>1246</v>
      </c>
      <c r="C366" s="32"/>
    </row>
    <row r="367" customFormat="false" ht="45.75" hidden="false" customHeight="true" outlineLevel="0" collapsed="false">
      <c r="A367" s="15" t="s">
        <v>1247</v>
      </c>
      <c r="B367" s="16" t="s">
        <v>1248</v>
      </c>
      <c r="C367" s="32"/>
    </row>
    <row r="369" customFormat="false" ht="15" hidden="false" customHeight="true" outlineLevel="0" collapsed="false">
      <c r="A369" s="42" t="s">
        <v>1249</v>
      </c>
      <c r="B369" s="43"/>
      <c r="C369" s="43"/>
    </row>
    <row r="370" customFormat="false" ht="23.25" hidden="false" customHeight="true" outlineLevel="0" collapsed="false">
      <c r="A370" s="15" t="s">
        <v>1250</v>
      </c>
      <c r="B370" s="16" t="s">
        <v>1251</v>
      </c>
      <c r="C370" s="32"/>
    </row>
    <row r="371" customFormat="false" ht="23.25" hidden="false" customHeight="true" outlineLevel="0" collapsed="false">
      <c r="A371" s="15" t="s">
        <v>1252</v>
      </c>
      <c r="B371" s="16" t="s">
        <v>1253</v>
      </c>
      <c r="C371" s="32"/>
    </row>
    <row r="372" customFormat="false" ht="21.75" hidden="false" customHeight="true" outlineLevel="0" collapsed="false">
      <c r="A372" s="15" t="s">
        <v>1254</v>
      </c>
      <c r="B372" s="16" t="s">
        <v>1255</v>
      </c>
      <c r="C372" s="32"/>
    </row>
    <row r="373" customFormat="false" ht="34.5" hidden="false" customHeight="true" outlineLevel="0" collapsed="false">
      <c r="A373" s="42" t="s">
        <v>1256</v>
      </c>
      <c r="B373" s="43"/>
      <c r="C373" s="43"/>
    </row>
    <row r="374" customFormat="false" ht="23.25" hidden="false" customHeight="true" outlineLevel="0" collapsed="false">
      <c r="A374" s="15" t="s">
        <v>1257</v>
      </c>
      <c r="B374" s="16" t="s">
        <v>1258</v>
      </c>
      <c r="C374" s="32"/>
    </row>
    <row r="375" customFormat="false" ht="23.25" hidden="false" customHeight="true" outlineLevel="0" collapsed="false">
      <c r="A375" s="15" t="s">
        <v>1259</v>
      </c>
      <c r="B375" s="16" t="s">
        <v>1260</v>
      </c>
      <c r="C375" s="32"/>
    </row>
    <row r="376" customFormat="false" ht="21.75" hidden="false" customHeight="true" outlineLevel="0" collapsed="false">
      <c r="A376" s="15" t="s">
        <v>1261</v>
      </c>
      <c r="B376" s="16" t="s">
        <v>1262</v>
      </c>
      <c r="C376" s="32"/>
    </row>
    <row r="377" customFormat="false" ht="34.5" hidden="false" customHeight="true" outlineLevel="0" collapsed="false">
      <c r="A377" s="42" t="s">
        <v>1263</v>
      </c>
      <c r="B377" s="43"/>
      <c r="C377" s="43"/>
    </row>
    <row r="378" customFormat="false" ht="23.25" hidden="false" customHeight="true" outlineLevel="0" collapsed="false">
      <c r="A378" s="15" t="s">
        <v>1264</v>
      </c>
      <c r="B378" s="16" t="s">
        <v>1265</v>
      </c>
      <c r="C378" s="32"/>
    </row>
    <row r="379" customFormat="false" ht="23.25" hidden="false" customHeight="true" outlineLevel="0" collapsed="false">
      <c r="A379" s="15" t="s">
        <v>1266</v>
      </c>
      <c r="B379" s="16" t="s">
        <v>1267</v>
      </c>
      <c r="C379" s="32"/>
    </row>
    <row r="380" customFormat="false" ht="21.75" hidden="false" customHeight="true" outlineLevel="0" collapsed="false">
      <c r="A380" s="15" t="s">
        <v>1268</v>
      </c>
      <c r="B380" s="16" t="s">
        <v>1269</v>
      </c>
      <c r="C380" s="32"/>
    </row>
    <row r="381" customFormat="false" ht="34.5" hidden="false" customHeight="true" outlineLevel="0" collapsed="false">
      <c r="A381" s="42" t="s">
        <v>1270</v>
      </c>
      <c r="B381" s="43"/>
      <c r="C381" s="43"/>
    </row>
    <row r="382" customFormat="false" ht="23.25" hidden="false" customHeight="true" outlineLevel="0" collapsed="false">
      <c r="A382" s="15" t="s">
        <v>1271</v>
      </c>
      <c r="B382" s="16" t="s">
        <v>1272</v>
      </c>
      <c r="C382" s="32"/>
    </row>
    <row r="383" customFormat="false" ht="23.25" hidden="false" customHeight="true" outlineLevel="0" collapsed="false">
      <c r="A383" s="15" t="s">
        <v>1273</v>
      </c>
      <c r="B383" s="16" t="s">
        <v>1274</v>
      </c>
      <c r="C383" s="32"/>
    </row>
    <row r="384" customFormat="false" ht="21.75" hidden="false" customHeight="true" outlineLevel="0" collapsed="false">
      <c r="A384" s="42" t="s">
        <v>1275</v>
      </c>
      <c r="B384" s="43"/>
      <c r="C384" s="43"/>
    </row>
    <row r="385" customFormat="false" ht="34.5" hidden="false" customHeight="true" outlineLevel="0" collapsed="false">
      <c r="A385" s="15" t="s">
        <v>1276</v>
      </c>
      <c r="B385" s="16" t="s">
        <v>1277</v>
      </c>
      <c r="C385" s="32"/>
    </row>
    <row r="386" customFormat="false" ht="23.25" hidden="false" customHeight="true" outlineLevel="0" collapsed="false">
      <c r="A386" s="15" t="s">
        <v>1278</v>
      </c>
      <c r="B386" s="16" t="s">
        <v>1279</v>
      </c>
      <c r="C386" s="32"/>
    </row>
    <row r="387" customFormat="false" ht="23.25" hidden="false" customHeight="true" outlineLevel="0" collapsed="false">
      <c r="A387" s="15" t="s">
        <v>1280</v>
      </c>
      <c r="B387" s="16" t="s">
        <v>1281</v>
      </c>
      <c r="C387" s="32"/>
    </row>
    <row r="388" customFormat="false" ht="34.5" hidden="false" customHeight="true" outlineLevel="0" collapsed="false"/>
    <row r="389" customFormat="false" ht="23.25" hidden="false" customHeight="true" outlineLevel="0" collapsed="false">
      <c r="A389" s="42" t="s">
        <v>1282</v>
      </c>
      <c r="B389" s="43"/>
      <c r="C389" s="43"/>
    </row>
    <row r="390" customFormat="false" ht="23.25" hidden="false" customHeight="true" outlineLevel="0" collapsed="false">
      <c r="A390" s="15" t="s">
        <v>1283</v>
      </c>
      <c r="B390" s="16" t="s">
        <v>1284</v>
      </c>
      <c r="C390" s="32"/>
    </row>
    <row r="391" customFormat="false" ht="23.25" hidden="false" customHeight="true" outlineLevel="0" collapsed="false">
      <c r="A391" s="15" t="s">
        <v>1285</v>
      </c>
      <c r="B391" s="16" t="s">
        <v>1286</v>
      </c>
      <c r="C391" s="32"/>
    </row>
    <row r="392" customFormat="false" ht="21.75" hidden="false" customHeight="true" outlineLevel="0" collapsed="false">
      <c r="A392" s="15" t="s">
        <v>1287</v>
      </c>
      <c r="B392" s="16" t="s">
        <v>1288</v>
      </c>
      <c r="C392" s="32"/>
    </row>
    <row r="393" customFormat="false" ht="34.5" hidden="false" customHeight="true" outlineLevel="0" collapsed="false">
      <c r="A393" s="15" t="s">
        <v>1289</v>
      </c>
      <c r="B393" s="16" t="s">
        <v>1290</v>
      </c>
      <c r="C393" s="32"/>
    </row>
    <row r="394" customFormat="false" ht="23.25" hidden="false" customHeight="true" outlineLevel="0" collapsed="false">
      <c r="A394" s="44" t="s">
        <v>1291</v>
      </c>
      <c r="B394" s="45"/>
      <c r="C394" s="45"/>
    </row>
    <row r="395" customFormat="false" ht="23.25" hidden="false" customHeight="true" outlineLevel="0" collapsed="false">
      <c r="A395" s="15" t="s">
        <v>1292</v>
      </c>
      <c r="B395" s="16" t="s">
        <v>1293</v>
      </c>
      <c r="C395" s="32"/>
    </row>
    <row r="396" customFormat="false" ht="23.25" hidden="false" customHeight="true" outlineLevel="0" collapsed="false">
      <c r="A396" s="15" t="s">
        <v>1294</v>
      </c>
      <c r="B396" s="16" t="s">
        <v>1295</v>
      </c>
      <c r="C396" s="32"/>
    </row>
    <row r="397" customFormat="false" ht="21.75" hidden="false" customHeight="true" outlineLevel="0" collapsed="false">
      <c r="A397" s="15" t="s">
        <v>1296</v>
      </c>
      <c r="B397" s="16" t="s">
        <v>1297</v>
      </c>
      <c r="C397" s="32"/>
    </row>
    <row r="398" customFormat="false" ht="34.5" hidden="false" customHeight="true" outlineLevel="0" collapsed="false">
      <c r="A398" s="15" t="s">
        <v>1298</v>
      </c>
      <c r="B398" s="16" t="s">
        <v>1299</v>
      </c>
      <c r="C398" s="32"/>
    </row>
    <row r="399" customFormat="false" ht="23.25" hidden="false" customHeight="true" outlineLevel="0" collapsed="false">
      <c r="A399" s="15" t="s">
        <v>1300</v>
      </c>
      <c r="B399" s="16" t="s">
        <v>1301</v>
      </c>
      <c r="C399" s="32"/>
    </row>
    <row r="400" customFormat="false" ht="23.25" hidden="false" customHeight="true" outlineLevel="0" collapsed="false">
      <c r="A400" s="44" t="s">
        <v>1302</v>
      </c>
      <c r="B400" s="45"/>
      <c r="C400" s="45"/>
    </row>
    <row r="401" customFormat="false" ht="23.25" hidden="false" customHeight="true" outlineLevel="0" collapsed="false">
      <c r="A401" s="15" t="s">
        <v>1303</v>
      </c>
      <c r="B401" s="16" t="s">
        <v>1304</v>
      </c>
      <c r="C401" s="32"/>
    </row>
    <row r="402" customFormat="false" ht="23.25" hidden="false" customHeight="true" outlineLevel="0" collapsed="false">
      <c r="A402" s="15" t="s">
        <v>1305</v>
      </c>
      <c r="B402" s="16" t="s">
        <v>1306</v>
      </c>
      <c r="C402" s="32"/>
    </row>
    <row r="403" customFormat="false" ht="21.75" hidden="false" customHeight="true" outlineLevel="0" collapsed="false">
      <c r="A403" s="15" t="s">
        <v>1307</v>
      </c>
      <c r="B403" s="16" t="s">
        <v>1308</v>
      </c>
      <c r="C403" s="32"/>
    </row>
    <row r="404" customFormat="false" ht="34.5" hidden="false" customHeight="true" outlineLevel="0" collapsed="false">
      <c r="A404" s="15" t="s">
        <v>1309</v>
      </c>
      <c r="B404" s="16" t="s">
        <v>1310</v>
      </c>
      <c r="C404" s="32"/>
    </row>
    <row r="405" customFormat="false" ht="23.25" hidden="false" customHeight="true" outlineLevel="0" collapsed="false">
      <c r="A405" s="42" t="s">
        <v>1311</v>
      </c>
      <c r="B405" s="43"/>
      <c r="C405" s="43"/>
    </row>
    <row r="406" customFormat="false" ht="23.25" hidden="false" customHeight="true" outlineLevel="0" collapsed="false">
      <c r="A406" s="15" t="s">
        <v>1312</v>
      </c>
      <c r="B406" s="16" t="s">
        <v>1313</v>
      </c>
      <c r="C406" s="32"/>
    </row>
    <row r="407" customFormat="false" ht="23.25" hidden="false" customHeight="true" outlineLevel="0" collapsed="false">
      <c r="A407" s="15" t="s">
        <v>1314</v>
      </c>
      <c r="B407" s="16" t="s">
        <v>1315</v>
      </c>
      <c r="C407" s="32"/>
    </row>
    <row r="408" customFormat="false" ht="21.75" hidden="false" customHeight="true" outlineLevel="0" collapsed="false">
      <c r="A408" s="15" t="s">
        <v>1316</v>
      </c>
      <c r="B408" s="16" t="s">
        <v>1317</v>
      </c>
      <c r="C408" s="32"/>
    </row>
    <row r="409" customFormat="false" ht="34.5" hidden="false" customHeight="true" outlineLevel="0" collapsed="false">
      <c r="A409" s="15" t="s">
        <v>1318</v>
      </c>
      <c r="B409" s="16" t="s">
        <v>1319</v>
      </c>
      <c r="C409" s="32"/>
    </row>
    <row r="410" customFormat="false" ht="23.25" hidden="false" customHeight="true" outlineLevel="0" collapsed="false">
      <c r="A410" s="44" t="s">
        <v>1320</v>
      </c>
      <c r="B410" s="45"/>
      <c r="C410" s="45"/>
    </row>
    <row r="411" customFormat="false" ht="23.25" hidden="false" customHeight="true" outlineLevel="0" collapsed="false">
      <c r="A411" s="15" t="s">
        <v>1321</v>
      </c>
      <c r="B411" s="16" t="s">
        <v>1322</v>
      </c>
      <c r="C411" s="32"/>
    </row>
    <row r="412" customFormat="false" ht="23.25" hidden="false" customHeight="true" outlineLevel="0" collapsed="false">
      <c r="A412" s="15" t="s">
        <v>1323</v>
      </c>
      <c r="B412" s="16" t="s">
        <v>1324</v>
      </c>
      <c r="C412" s="32"/>
    </row>
    <row r="413" customFormat="false" ht="21.75" hidden="false" customHeight="true" outlineLevel="0" collapsed="false">
      <c r="A413" s="15" t="s">
        <v>1325</v>
      </c>
      <c r="B413" s="16" t="s">
        <v>1326</v>
      </c>
      <c r="C413" s="32"/>
    </row>
    <row r="414" customFormat="false" ht="34.5" hidden="false" customHeight="true" outlineLevel="0" collapsed="false">
      <c r="A414" s="15" t="s">
        <v>1327</v>
      </c>
      <c r="B414" s="16" t="s">
        <v>1328</v>
      </c>
      <c r="C414" s="32"/>
    </row>
    <row r="415" customFormat="false" ht="23.25" hidden="false" customHeight="true" outlineLevel="0" collapsed="false">
      <c r="A415" s="15" t="s">
        <v>1329</v>
      </c>
      <c r="B415" s="16" t="s">
        <v>1330</v>
      </c>
      <c r="C415" s="32"/>
    </row>
    <row r="416" customFormat="false" ht="23.25" hidden="false" customHeight="true" outlineLevel="0" collapsed="false">
      <c r="A416" s="44" t="s">
        <v>1331</v>
      </c>
      <c r="B416" s="45"/>
      <c r="C416" s="45"/>
    </row>
    <row r="417" customFormat="false" ht="23.25" hidden="false" customHeight="true" outlineLevel="0" collapsed="false">
      <c r="A417" s="15" t="s">
        <v>1332</v>
      </c>
      <c r="B417" s="16" t="s">
        <v>1333</v>
      </c>
      <c r="C417" s="32"/>
    </row>
    <row r="418" customFormat="false" ht="23.25" hidden="false" customHeight="true" outlineLevel="0" collapsed="false">
      <c r="A418" s="15" t="s">
        <v>1334</v>
      </c>
      <c r="B418" s="16" t="s">
        <v>1335</v>
      </c>
      <c r="C418" s="32"/>
    </row>
    <row r="419" customFormat="false" ht="21.75" hidden="false" customHeight="true" outlineLevel="0" collapsed="false">
      <c r="A419" s="15" t="s">
        <v>1336</v>
      </c>
      <c r="B419" s="16" t="s">
        <v>1337</v>
      </c>
      <c r="C419" s="32"/>
    </row>
    <row r="420" customFormat="false" ht="34.5" hidden="false" customHeight="true" outlineLevel="0" collapsed="false">
      <c r="A420" s="15" t="s">
        <v>1338</v>
      </c>
      <c r="B420" s="16" t="s">
        <v>1339</v>
      </c>
      <c r="C420" s="32"/>
    </row>
    <row r="421" customFormat="false" ht="23.25" hidden="false" customHeight="true" outlineLevel="0" collapsed="false">
      <c r="A421" s="15" t="s">
        <v>1340</v>
      </c>
      <c r="B421" s="16" t="s">
        <v>1341</v>
      </c>
      <c r="C421" s="32"/>
    </row>
    <row r="422" customFormat="false" ht="23.25" hidden="false" customHeight="true" outlineLevel="0" collapsed="false">
      <c r="A422" s="42" t="s">
        <v>1342</v>
      </c>
      <c r="B422" s="43"/>
      <c r="C422" s="43"/>
    </row>
    <row r="423" customFormat="false" ht="23.25" hidden="false" customHeight="true" outlineLevel="0" collapsed="false">
      <c r="A423" s="15" t="s">
        <v>1343</v>
      </c>
      <c r="B423" s="16" t="s">
        <v>1344</v>
      </c>
      <c r="C423" s="32"/>
    </row>
    <row r="424" customFormat="false" ht="23.25" hidden="false" customHeight="true" outlineLevel="0" collapsed="false">
      <c r="A424" s="15" t="s">
        <v>1345</v>
      </c>
      <c r="B424" s="16" t="s">
        <v>1346</v>
      </c>
      <c r="C424" s="32"/>
    </row>
    <row r="425" customFormat="false" ht="21.75" hidden="false" customHeight="true" outlineLevel="0" collapsed="false">
      <c r="A425" s="15" t="s">
        <v>1347</v>
      </c>
      <c r="B425" s="16" t="s">
        <v>1348</v>
      </c>
      <c r="C425" s="32"/>
    </row>
    <row r="426" customFormat="false" ht="34.5" hidden="false" customHeight="true" outlineLevel="0" collapsed="false">
      <c r="A426" s="42" t="s">
        <v>1349</v>
      </c>
      <c r="B426" s="43"/>
      <c r="C426" s="43"/>
    </row>
    <row r="427" customFormat="false" ht="23.25" hidden="false" customHeight="true" outlineLevel="0" collapsed="false">
      <c r="A427" s="15" t="s">
        <v>1350</v>
      </c>
      <c r="B427" s="16" t="s">
        <v>1351</v>
      </c>
      <c r="C427" s="32"/>
    </row>
    <row r="428" customFormat="false" ht="23.25" hidden="false" customHeight="true" outlineLevel="0" collapsed="false">
      <c r="A428" s="15" t="s">
        <v>1352</v>
      </c>
      <c r="B428" s="16" t="s">
        <v>1353</v>
      </c>
      <c r="C428" s="32"/>
    </row>
    <row r="429" customFormat="false" ht="21.75" hidden="false" customHeight="true" outlineLevel="0" collapsed="false">
      <c r="A429" s="15" t="s">
        <v>1354</v>
      </c>
      <c r="B429" s="16" t="s">
        <v>1355</v>
      </c>
      <c r="C429" s="32"/>
    </row>
    <row r="430" customFormat="false" ht="34.5" hidden="false" customHeight="true" outlineLevel="0" collapsed="false">
      <c r="A430" s="42" t="s">
        <v>1356</v>
      </c>
      <c r="B430" s="43"/>
      <c r="C430" s="43"/>
    </row>
    <row r="431" customFormat="false" ht="23.25" hidden="false" customHeight="true" outlineLevel="0" collapsed="false">
      <c r="A431" s="15" t="s">
        <v>1357</v>
      </c>
      <c r="B431" s="16" t="s">
        <v>1358</v>
      </c>
      <c r="C431" s="32"/>
    </row>
    <row r="432" customFormat="false" ht="23.25" hidden="false" customHeight="true" outlineLevel="0" collapsed="false">
      <c r="A432" s="15" t="s">
        <v>1359</v>
      </c>
      <c r="B432" s="16" t="s">
        <v>1360</v>
      </c>
      <c r="C432" s="32"/>
    </row>
    <row r="433" customFormat="false" ht="21.75" hidden="false" customHeight="true" outlineLevel="0" collapsed="false">
      <c r="A433" s="15" t="s">
        <v>1361</v>
      </c>
      <c r="B433" s="16" t="s">
        <v>1362</v>
      </c>
      <c r="C433" s="32"/>
    </row>
    <row r="434" customFormat="false" ht="34.5" hidden="false" customHeight="true" outlineLevel="0" collapsed="false">
      <c r="A434" s="15" t="s">
        <v>1363</v>
      </c>
      <c r="B434" s="16" t="s">
        <v>1364</v>
      </c>
      <c r="C434" s="32"/>
    </row>
    <row r="435" customFormat="false" ht="23.25" hidden="false" customHeight="true" outlineLevel="0" collapsed="false">
      <c r="A435" s="44" t="s">
        <v>1365</v>
      </c>
      <c r="B435" s="45"/>
      <c r="C435" s="45"/>
    </row>
    <row r="436" customFormat="false" ht="23.25" hidden="false" customHeight="true" outlineLevel="0" collapsed="false">
      <c r="A436" s="15" t="s">
        <v>1366</v>
      </c>
      <c r="B436" s="16" t="s">
        <v>1367</v>
      </c>
      <c r="C436" s="32"/>
    </row>
    <row r="437" customFormat="false" ht="23.25" hidden="false" customHeight="true" outlineLevel="0" collapsed="false">
      <c r="A437" s="15" t="s">
        <v>1368</v>
      </c>
      <c r="B437" s="16" t="s">
        <v>1369</v>
      </c>
      <c r="C437" s="32"/>
    </row>
    <row r="438" customFormat="false" ht="21.75" hidden="false" customHeight="true" outlineLevel="0" collapsed="false">
      <c r="A438" s="15" t="s">
        <v>1370</v>
      </c>
      <c r="B438" s="16" t="s">
        <v>1371</v>
      </c>
      <c r="C438" s="32"/>
    </row>
    <row r="439" customFormat="false" ht="34.5" hidden="false" customHeight="true" outlineLevel="0" collapsed="false">
      <c r="A439" s="15" t="s">
        <v>1372</v>
      </c>
      <c r="B439" s="16" t="s">
        <v>1373</v>
      </c>
      <c r="C439" s="32"/>
    </row>
    <row r="440" customFormat="false" ht="23.25" hidden="false" customHeight="true" outlineLevel="0" collapsed="false">
      <c r="A440" s="15" t="s">
        <v>1374</v>
      </c>
      <c r="B440" s="16" t="s">
        <v>1375</v>
      </c>
      <c r="C440" s="32"/>
    </row>
    <row r="441" customFormat="false" ht="23.25" hidden="false" customHeight="true" outlineLevel="0" collapsed="false">
      <c r="A441" s="15" t="s">
        <v>1376</v>
      </c>
      <c r="B441" s="16" t="s">
        <v>1377</v>
      </c>
      <c r="C441" s="32"/>
    </row>
    <row r="443" customFormat="false" ht="15" hidden="false" customHeight="true" outlineLevel="0" collapsed="false">
      <c r="A443" s="42" t="s">
        <v>1378</v>
      </c>
      <c r="B443" s="43"/>
      <c r="C443" s="43"/>
    </row>
    <row r="444" customFormat="false" ht="23.25" hidden="false" customHeight="true" outlineLevel="0" collapsed="false">
      <c r="A444" s="15" t="s">
        <v>1379</v>
      </c>
      <c r="B444" s="16" t="s">
        <v>1380</v>
      </c>
      <c r="C444" s="32"/>
    </row>
    <row r="445" customFormat="false" ht="23.25" hidden="false" customHeight="true" outlineLevel="0" collapsed="false"/>
    <row r="446" customFormat="false" ht="21.75" hidden="false" customHeight="true" outlineLevel="0" collapsed="false">
      <c r="A446" s="42" t="s">
        <v>1381</v>
      </c>
      <c r="B446" s="43"/>
      <c r="C446" s="43"/>
    </row>
    <row r="447" customFormat="false" ht="34.5" hidden="false" customHeight="true" outlineLevel="0" collapsed="false">
      <c r="A447" s="15" t="s">
        <v>1382</v>
      </c>
      <c r="B447" s="16" t="s">
        <v>1383</v>
      </c>
      <c r="C447" s="32"/>
    </row>
    <row r="448" customFormat="false" ht="23.25" hidden="false" customHeight="true" outlineLevel="0" collapsed="false"/>
    <row r="449" customFormat="false" ht="23.25" hidden="false" customHeight="true" outlineLevel="0" collapsed="false">
      <c r="A449" s="44" t="s">
        <v>1384</v>
      </c>
      <c r="B449" s="45"/>
      <c r="C449" s="45"/>
    </row>
    <row r="450" customFormat="false" ht="34.5" hidden="false" customHeight="true" outlineLevel="0" collapsed="false">
      <c r="A450" s="15" t="s">
        <v>1385</v>
      </c>
      <c r="B450" s="16" t="s">
        <v>1386</v>
      </c>
      <c r="C450" s="32"/>
    </row>
    <row r="451" customFormat="false" ht="23.25" hidden="false" customHeight="true" outlineLevel="0" collapsed="false">
      <c r="A451" s="15" t="s">
        <v>1387</v>
      </c>
      <c r="B451" s="16" t="s">
        <v>1388</v>
      </c>
      <c r="C451" s="32"/>
    </row>
    <row r="452" customFormat="false" ht="23.25" hidden="false" customHeight="true" outlineLevel="0" collapsed="false">
      <c r="A452" s="15" t="s">
        <v>1389</v>
      </c>
      <c r="B452" s="16" t="s">
        <v>1390</v>
      </c>
      <c r="C452" s="32"/>
    </row>
    <row r="453" customFormat="false" ht="34.5" hidden="false" customHeight="true" outlineLevel="0" collapsed="false">
      <c r="A453" s="15" t="s">
        <v>1391</v>
      </c>
      <c r="B453" s="16" t="s">
        <v>1392</v>
      </c>
      <c r="C453" s="32"/>
    </row>
    <row r="454" customFormat="false" ht="23.25" hidden="false" customHeight="true" outlineLevel="0" collapsed="false">
      <c r="A454" s="15" t="s">
        <v>1393</v>
      </c>
      <c r="B454" s="16" t="s">
        <v>1394</v>
      </c>
      <c r="C454" s="32"/>
    </row>
    <row r="455" customFormat="false" ht="23.25" hidden="false" customHeight="true" outlineLevel="0" collapsed="false">
      <c r="A455" s="15" t="s">
        <v>1395</v>
      </c>
      <c r="B455" s="16" t="s">
        <v>1396</v>
      </c>
      <c r="C455" s="32"/>
    </row>
    <row r="456" customFormat="false" ht="23.25" hidden="false" customHeight="true" outlineLevel="0" collapsed="false">
      <c r="A456" s="15" t="s">
        <v>1397</v>
      </c>
      <c r="B456" s="16" t="s">
        <v>1398</v>
      </c>
      <c r="C456" s="32"/>
    </row>
    <row r="457" customFormat="false" ht="15" hidden="false" customHeight="true" outlineLevel="0" collapsed="false">
      <c r="A457" s="42" t="s">
        <v>1399</v>
      </c>
      <c r="B457" s="43"/>
      <c r="C457" s="43"/>
    </row>
    <row r="458" customFormat="false" ht="23.25" hidden="false" customHeight="true" outlineLevel="0" collapsed="false">
      <c r="A458" s="15" t="s">
        <v>1400</v>
      </c>
      <c r="B458" s="16" t="s">
        <v>1401</v>
      </c>
      <c r="C458" s="32"/>
    </row>
    <row r="459" customFormat="false" ht="23.25" hidden="false" customHeight="true" outlineLevel="0" collapsed="false">
      <c r="A459" s="15" t="s">
        <v>1402</v>
      </c>
      <c r="B459" s="16" t="s">
        <v>1403</v>
      </c>
      <c r="C459" s="32"/>
    </row>
    <row r="460" customFormat="false" ht="21.75" hidden="false" customHeight="true" outlineLevel="0" collapsed="false">
      <c r="A460" s="15" t="s">
        <v>1404</v>
      </c>
      <c r="B460" s="16" t="s">
        <v>1405</v>
      </c>
      <c r="C460" s="32"/>
    </row>
    <row r="461" customFormat="false" ht="34.5" hidden="false" customHeight="true" outlineLevel="0" collapsed="false">
      <c r="A461" s="46" t="s">
        <v>1406</v>
      </c>
      <c r="B461" s="46"/>
      <c r="C461" s="46"/>
    </row>
    <row r="462" customFormat="false" ht="23.25" hidden="false" customHeight="true" outlineLevel="0" collapsed="false">
      <c r="A462" s="15" t="s">
        <v>1407</v>
      </c>
      <c r="B462" s="16" t="s">
        <v>1408</v>
      </c>
      <c r="C462" s="32"/>
    </row>
    <row r="463" customFormat="false" ht="23.25" hidden="false" customHeight="true" outlineLevel="0" collapsed="false">
      <c r="A463" s="15" t="s">
        <v>1409</v>
      </c>
      <c r="B463" s="16" t="s">
        <v>1410</v>
      </c>
      <c r="C463" s="32"/>
    </row>
    <row r="464" customFormat="false" ht="21.75" hidden="false" customHeight="true" outlineLevel="0" collapsed="false">
      <c r="A464" s="15" t="s">
        <v>1411</v>
      </c>
      <c r="B464" s="16" t="s">
        <v>1412</v>
      </c>
      <c r="C464" s="32"/>
    </row>
    <row r="465" customFormat="false" ht="34.5" hidden="false" customHeight="true" outlineLevel="0" collapsed="false">
      <c r="A465" s="15" t="s">
        <v>1413</v>
      </c>
      <c r="B465" s="16" t="s">
        <v>1414</v>
      </c>
      <c r="C465" s="32"/>
    </row>
    <row r="466" customFormat="false" ht="23.25" hidden="false" customHeight="true" outlineLevel="0" collapsed="false">
      <c r="A466" s="15" t="s">
        <v>1415</v>
      </c>
      <c r="B466" s="16" t="s">
        <v>1416</v>
      </c>
      <c r="C466" s="32"/>
    </row>
    <row r="467" customFormat="false" ht="23.25" hidden="false" customHeight="true" outlineLevel="0" collapsed="false">
      <c r="A467" s="15" t="s">
        <v>1417</v>
      </c>
      <c r="B467" s="16" t="s">
        <v>1418</v>
      </c>
      <c r="C467" s="32"/>
    </row>
    <row r="468" customFormat="false" ht="45.75" hidden="false" customHeight="true" outlineLevel="0" collapsed="false">
      <c r="A468" s="15" t="s">
        <v>1419</v>
      </c>
      <c r="B468" s="16" t="s">
        <v>1420</v>
      </c>
      <c r="C468" s="32"/>
    </row>
    <row r="470" customFormat="false" ht="15" hidden="false" customHeight="true" outlineLevel="0" collapsed="false">
      <c r="A470" s="42" t="s">
        <v>1421</v>
      </c>
      <c r="B470" s="43"/>
      <c r="C470" s="43"/>
    </row>
    <row r="471" customFormat="false" ht="23.25" hidden="false" customHeight="true" outlineLevel="0" collapsed="false">
      <c r="A471" s="15" t="s">
        <v>1422</v>
      </c>
      <c r="B471" s="16" t="s">
        <v>1423</v>
      </c>
      <c r="C471" s="32"/>
    </row>
    <row r="472" customFormat="false" ht="23.25" hidden="false" customHeight="true" outlineLevel="0" collapsed="false">
      <c r="A472" s="15" t="s">
        <v>1424</v>
      </c>
      <c r="B472" s="16" t="s">
        <v>1425</v>
      </c>
      <c r="C472" s="32"/>
    </row>
    <row r="473" customFormat="false" ht="21.75" hidden="false" customHeight="true" outlineLevel="0" collapsed="false">
      <c r="A473" s="42" t="s">
        <v>1426</v>
      </c>
      <c r="B473" s="43"/>
      <c r="C473" s="43"/>
    </row>
    <row r="474" customFormat="false" ht="34.5" hidden="false" customHeight="true" outlineLevel="0" collapsed="false">
      <c r="A474" s="15" t="s">
        <v>1427</v>
      </c>
      <c r="B474" s="16" t="s">
        <v>1428</v>
      </c>
      <c r="C474" s="32"/>
    </row>
    <row r="475" customFormat="false" ht="23.25" hidden="false" customHeight="true" outlineLevel="0" collapsed="false">
      <c r="A475" s="15" t="s">
        <v>1429</v>
      </c>
      <c r="B475" s="16" t="s">
        <v>1430</v>
      </c>
      <c r="C475" s="32"/>
    </row>
    <row r="476" customFormat="false" ht="23.25" hidden="false" customHeight="true" outlineLevel="0" collapsed="false">
      <c r="A476" s="15" t="s">
        <v>1431</v>
      </c>
      <c r="B476" s="16" t="s">
        <v>1432</v>
      </c>
      <c r="C476" s="32"/>
    </row>
    <row r="477" customFormat="false" ht="34.5" hidden="false" customHeight="true" outlineLevel="0" collapsed="false">
      <c r="A477" s="44" t="s">
        <v>1433</v>
      </c>
      <c r="B477" s="45"/>
      <c r="C477" s="45"/>
    </row>
    <row r="478" customFormat="false" ht="23.25" hidden="false" customHeight="true" outlineLevel="0" collapsed="false">
      <c r="A478" s="15" t="s">
        <v>1434</v>
      </c>
      <c r="B478" s="16" t="s">
        <v>1435</v>
      </c>
      <c r="C478" s="32"/>
    </row>
    <row r="479" customFormat="false" ht="23.25" hidden="false" customHeight="true" outlineLevel="0" collapsed="false">
      <c r="A479" s="15" t="s">
        <v>1436</v>
      </c>
      <c r="B479" s="16" t="s">
        <v>1437</v>
      </c>
      <c r="C479" s="32"/>
    </row>
    <row r="480" customFormat="false" ht="21.75" hidden="false" customHeight="true" outlineLevel="0" collapsed="false">
      <c r="A480" s="15" t="s">
        <v>1438</v>
      </c>
      <c r="B480" s="16" t="s">
        <v>1439</v>
      </c>
      <c r="C480" s="32"/>
    </row>
    <row r="481" customFormat="false" ht="34.5" hidden="false" customHeight="true" outlineLevel="0" collapsed="false">
      <c r="A481" s="15" t="s">
        <v>1440</v>
      </c>
      <c r="B481" s="16" t="s">
        <v>1441</v>
      </c>
      <c r="C481" s="32"/>
    </row>
    <row r="482" customFormat="false" ht="23.25" hidden="false" customHeight="true" outlineLevel="0" collapsed="false"/>
    <row r="483" customFormat="false" ht="23.25" hidden="false" customHeight="true" outlineLevel="0" collapsed="false">
      <c r="A483" s="46" t="s">
        <v>1442</v>
      </c>
      <c r="B483" s="46"/>
      <c r="C483" s="46"/>
    </row>
    <row r="484" customFormat="false" ht="23.25" hidden="false" customHeight="true" outlineLevel="0" collapsed="false">
      <c r="A484" s="15" t="s">
        <v>1443</v>
      </c>
      <c r="B484" s="16" t="s">
        <v>1444</v>
      </c>
      <c r="C484" s="32"/>
    </row>
    <row r="485" customFormat="false" ht="23.25" hidden="false" customHeight="true" outlineLevel="0" collapsed="false">
      <c r="A485" s="15" t="s">
        <v>1445</v>
      </c>
      <c r="B485" s="16" t="s">
        <v>1446</v>
      </c>
      <c r="C485" s="32"/>
    </row>
    <row r="486" customFormat="false" ht="21.75" hidden="false" customHeight="true" outlineLevel="0" collapsed="false">
      <c r="A486" s="15" t="s">
        <v>1447</v>
      </c>
      <c r="B486" s="16" t="s">
        <v>1448</v>
      </c>
      <c r="C486" s="32"/>
    </row>
    <row r="487" customFormat="false" ht="34.5" hidden="false" customHeight="true" outlineLevel="0" collapsed="false">
      <c r="A487" s="15" t="s">
        <v>1449</v>
      </c>
      <c r="B487" s="16" t="s">
        <v>1450</v>
      </c>
      <c r="C487" s="32"/>
    </row>
    <row r="488" customFormat="false" ht="23.25" hidden="false" customHeight="true" outlineLevel="0" collapsed="false">
      <c r="A488" s="15" t="s">
        <v>1451</v>
      </c>
      <c r="B488" s="16" t="s">
        <v>1452</v>
      </c>
      <c r="C488" s="32"/>
    </row>
    <row r="489" customFormat="false" ht="23.25" hidden="false" customHeight="true" outlineLevel="0" collapsed="false">
      <c r="A489" s="15" t="s">
        <v>1453</v>
      </c>
      <c r="B489" s="16" t="s">
        <v>1454</v>
      </c>
      <c r="C489" s="32"/>
    </row>
    <row r="490" customFormat="false" ht="79.5" hidden="false" customHeight="true" outlineLevel="0" collapsed="false">
      <c r="A490" s="15" t="s">
        <v>1455</v>
      </c>
      <c r="B490" s="16" t="s">
        <v>1456</v>
      </c>
      <c r="C490" s="32"/>
    </row>
    <row r="492" customFormat="false" ht="15" hidden="false" customHeight="true" outlineLevel="0" collapsed="false">
      <c r="A492" s="46" t="s">
        <v>1457</v>
      </c>
      <c r="B492" s="46"/>
      <c r="C492" s="46"/>
    </row>
    <row r="493" customFormat="false" ht="23.25" hidden="false" customHeight="true" outlineLevel="0" collapsed="false">
      <c r="A493" s="15" t="s">
        <v>1458</v>
      </c>
      <c r="B493" s="16" t="s">
        <v>1459</v>
      </c>
      <c r="C493" s="32"/>
    </row>
    <row r="494" customFormat="false" ht="23.25" hidden="false" customHeight="true" outlineLevel="0" collapsed="false">
      <c r="A494" s="15" t="s">
        <v>1460</v>
      </c>
      <c r="B494" s="16" t="s">
        <v>1461</v>
      </c>
      <c r="C494" s="32"/>
    </row>
    <row r="495" customFormat="false" ht="21.75" hidden="false" customHeight="true" outlineLevel="0" collapsed="false">
      <c r="A495" s="15" t="s">
        <v>1462</v>
      </c>
      <c r="B495" s="16" t="s">
        <v>1463</v>
      </c>
      <c r="C495" s="32"/>
    </row>
    <row r="496" customFormat="false" ht="34.5" hidden="false" customHeight="true" outlineLevel="0" collapsed="false">
      <c r="A496" s="15" t="s">
        <v>1464</v>
      </c>
      <c r="B496" s="16" t="s">
        <v>1465</v>
      </c>
      <c r="C496" s="32"/>
    </row>
    <row r="497" customFormat="false" ht="23.25" hidden="false" customHeight="true" outlineLevel="0" collapsed="false">
      <c r="A497" s="15" t="s">
        <v>1466</v>
      </c>
      <c r="B497" s="16" t="s">
        <v>1467</v>
      </c>
      <c r="C497" s="32"/>
    </row>
    <row r="498" customFormat="false" ht="23.25" hidden="false" customHeight="true" outlineLevel="0" collapsed="false">
      <c r="A498" s="44" t="s">
        <v>1468</v>
      </c>
      <c r="B498" s="45"/>
      <c r="C498" s="45"/>
    </row>
    <row r="499" customFormat="false" ht="23.25" hidden="false" customHeight="true" outlineLevel="0" collapsed="false">
      <c r="A499" s="15" t="s">
        <v>1469</v>
      </c>
      <c r="B499" s="16" t="s">
        <v>1470</v>
      </c>
      <c r="C499" s="32"/>
    </row>
    <row r="500" customFormat="false" ht="23.25" hidden="false" customHeight="true" outlineLevel="0" collapsed="false">
      <c r="A500" s="15" t="s">
        <v>1471</v>
      </c>
      <c r="B500" s="16" t="s">
        <v>1472</v>
      </c>
      <c r="C500" s="32"/>
    </row>
    <row r="501" customFormat="false" ht="21.75" hidden="false" customHeight="true" outlineLevel="0" collapsed="false">
      <c r="A501" s="15" t="s">
        <v>1473</v>
      </c>
      <c r="B501" s="16" t="s">
        <v>1474</v>
      </c>
      <c r="C501" s="32"/>
    </row>
    <row r="502" customFormat="false" ht="34.5" hidden="false" customHeight="true" outlineLevel="0" collapsed="false">
      <c r="A502" s="15" t="s">
        <v>1475</v>
      </c>
      <c r="B502" s="16" t="s">
        <v>1476</v>
      </c>
      <c r="C502" s="32"/>
    </row>
    <row r="503" customFormat="false" ht="23.25" hidden="false" customHeight="true" outlineLevel="0" collapsed="false">
      <c r="A503" s="15" t="s">
        <v>1477</v>
      </c>
      <c r="B503" s="16" t="s">
        <v>1478</v>
      </c>
      <c r="C503" s="32"/>
    </row>
    <row r="504" customFormat="false" ht="23.25" hidden="false" customHeight="true" outlineLevel="0" collapsed="false"/>
    <row r="505" customFormat="false" ht="15" hidden="false" customHeight="true" outlineLevel="0" collapsed="false">
      <c r="A505" s="47" t="s">
        <v>1479</v>
      </c>
      <c r="B505" s="47"/>
      <c r="C505" s="47"/>
    </row>
    <row r="506" customFormat="false" ht="23.25" hidden="false" customHeight="true" outlineLevel="0" collapsed="false">
      <c r="A506" s="15" t="s">
        <v>1480</v>
      </c>
      <c r="B506" s="16" t="s">
        <v>1481</v>
      </c>
      <c r="C506" s="32"/>
    </row>
    <row r="507" customFormat="false" ht="23.25" hidden="false" customHeight="true" outlineLevel="0" collapsed="false">
      <c r="A507" s="15" t="s">
        <v>1482</v>
      </c>
      <c r="B507" s="16" t="s">
        <v>1483</v>
      </c>
      <c r="C507" s="32"/>
    </row>
    <row r="508" customFormat="false" ht="21.75" hidden="false" customHeight="true" outlineLevel="0" collapsed="false">
      <c r="A508" s="15" t="s">
        <v>1484</v>
      </c>
      <c r="B508" s="16" t="s">
        <v>1485</v>
      </c>
      <c r="C508" s="32"/>
    </row>
    <row r="509" customFormat="false" ht="34.5" hidden="false" customHeight="true" outlineLevel="0" collapsed="false">
      <c r="A509" s="15" t="s">
        <v>1486</v>
      </c>
      <c r="B509" s="16" t="s">
        <v>1487</v>
      </c>
      <c r="C509" s="32"/>
    </row>
    <row r="510" customFormat="false" ht="23.25" hidden="false" customHeight="true" outlineLevel="0" collapsed="false">
      <c r="A510" s="15" t="s">
        <v>1488</v>
      </c>
      <c r="B510" s="16" t="s">
        <v>1489</v>
      </c>
      <c r="C510" s="32"/>
    </row>
    <row r="511" customFormat="false" ht="23.25" hidden="false" customHeight="true" outlineLevel="0" collapsed="false">
      <c r="A511" s="15" t="s">
        <v>1490</v>
      </c>
      <c r="B511" s="16" t="s">
        <v>1491</v>
      </c>
      <c r="C511" s="32"/>
    </row>
    <row r="512" customFormat="false" ht="57" hidden="false" customHeight="true" outlineLevel="0" collapsed="false">
      <c r="A512" s="15" t="s">
        <v>1492</v>
      </c>
      <c r="B512" s="16" t="s">
        <v>1493</v>
      </c>
      <c r="C512" s="32"/>
    </row>
    <row r="518" customFormat="false" ht="15" hidden="false" customHeight="true" outlineLevel="0" collapsed="false">
      <c r="A518" s="42" t="s">
        <v>1494</v>
      </c>
      <c r="B518" s="43"/>
      <c r="C518" s="43"/>
    </row>
    <row r="519" customFormat="false" ht="23.25" hidden="false" customHeight="true" outlineLevel="0" collapsed="false">
      <c r="A519" s="15" t="s">
        <v>1495</v>
      </c>
      <c r="B519" s="16" t="s">
        <v>1496</v>
      </c>
      <c r="C519" s="32"/>
    </row>
    <row r="520" customFormat="false" ht="23.25" hidden="false" customHeight="true" outlineLevel="0" collapsed="false">
      <c r="A520" s="15" t="s">
        <v>1497</v>
      </c>
      <c r="B520" s="16" t="s">
        <v>1498</v>
      </c>
      <c r="C520" s="32"/>
    </row>
    <row r="521" customFormat="false" ht="21.75" hidden="false" customHeight="true" outlineLevel="0" collapsed="false">
      <c r="A521" s="15" t="s">
        <v>1499</v>
      </c>
      <c r="B521" s="16" t="s">
        <v>1500</v>
      </c>
      <c r="C521" s="32"/>
    </row>
    <row r="522" customFormat="false" ht="34.5" hidden="false" customHeight="true" outlineLevel="0" collapsed="false">
      <c r="A522" s="15" t="s">
        <v>1501</v>
      </c>
      <c r="B522" s="16" t="s">
        <v>1502</v>
      </c>
      <c r="C522" s="32"/>
    </row>
    <row r="523" customFormat="false" ht="23.25" hidden="false" customHeight="true" outlineLevel="0" collapsed="false">
      <c r="A523" s="15" t="s">
        <v>1503</v>
      </c>
      <c r="B523" s="16" t="s">
        <v>1504</v>
      </c>
      <c r="C523" s="32"/>
    </row>
    <row r="524" customFormat="false" ht="23.25" hidden="false" customHeight="true" outlineLevel="0" collapsed="false">
      <c r="A524" s="15" t="s">
        <v>1505</v>
      </c>
      <c r="B524" s="16" t="s">
        <v>1506</v>
      </c>
      <c r="C524" s="32"/>
    </row>
    <row r="525" customFormat="false" ht="34.5" hidden="false" customHeight="true" outlineLevel="0" collapsed="false">
      <c r="A525" s="15" t="s">
        <v>1507</v>
      </c>
      <c r="B525" s="16" t="s">
        <v>1508</v>
      </c>
      <c r="C525" s="32"/>
    </row>
    <row r="526" customFormat="false" ht="45.75" hidden="false" customHeight="true" outlineLevel="0" collapsed="false">
      <c r="A526" s="15" t="s">
        <v>1509</v>
      </c>
      <c r="B526" s="16" t="s">
        <v>1510</v>
      </c>
      <c r="C526" s="32"/>
    </row>
    <row r="527" customFormat="false" ht="15" hidden="false" customHeight="true" outlineLevel="0" collapsed="false">
      <c r="A527" s="42" t="s">
        <v>1511</v>
      </c>
      <c r="B527" s="43"/>
      <c r="C527" s="43"/>
    </row>
    <row r="528" customFormat="false" ht="23.25" hidden="false" customHeight="true" outlineLevel="0" collapsed="false">
      <c r="A528" s="15" t="s">
        <v>1512</v>
      </c>
      <c r="B528" s="16" t="s">
        <v>1513</v>
      </c>
      <c r="C528" s="32"/>
    </row>
    <row r="529" customFormat="false" ht="23.25" hidden="false" customHeight="true" outlineLevel="0" collapsed="false">
      <c r="A529" s="15" t="s">
        <v>1514</v>
      </c>
      <c r="B529" s="16" t="s">
        <v>1515</v>
      </c>
      <c r="C529" s="32"/>
    </row>
    <row r="530" customFormat="false" ht="21.75" hidden="false" customHeight="true" outlineLevel="0" collapsed="false">
      <c r="A530" s="15" t="s">
        <v>1516</v>
      </c>
      <c r="B530" s="16" t="s">
        <v>1517</v>
      </c>
      <c r="C530" s="32"/>
    </row>
    <row r="531" customFormat="false" ht="34.5" hidden="false" customHeight="true" outlineLevel="0" collapsed="false">
      <c r="A531" s="15" t="s">
        <v>1518</v>
      </c>
      <c r="B531" s="16" t="s">
        <v>1519</v>
      </c>
      <c r="C531" s="32"/>
    </row>
    <row r="532" customFormat="false" ht="23.25" hidden="false" customHeight="true" outlineLevel="0" collapsed="false">
      <c r="A532" s="15" t="s">
        <v>1520</v>
      </c>
      <c r="B532" s="16" t="s">
        <v>1521</v>
      </c>
      <c r="C532" s="32"/>
    </row>
    <row r="533" customFormat="false" ht="23.25" hidden="false" customHeight="true" outlineLevel="0" collapsed="false">
      <c r="A533" s="46" t="s">
        <v>1522</v>
      </c>
      <c r="B533" s="46"/>
      <c r="C533" s="46"/>
    </row>
    <row r="534" customFormat="false" ht="23.25" hidden="false" customHeight="true" outlineLevel="0" collapsed="false">
      <c r="A534" s="15" t="s">
        <v>1523</v>
      </c>
      <c r="B534" s="16" t="s">
        <v>1524</v>
      </c>
      <c r="C534" s="32"/>
    </row>
    <row r="535" customFormat="false" ht="23.25" hidden="false" customHeight="true" outlineLevel="0" collapsed="false">
      <c r="A535" s="15" t="s">
        <v>1525</v>
      </c>
      <c r="B535" s="16" t="s">
        <v>1526</v>
      </c>
      <c r="C535" s="32"/>
    </row>
    <row r="536" customFormat="false" ht="21.75" hidden="false" customHeight="true" outlineLevel="0" collapsed="false">
      <c r="A536" s="15" t="s">
        <v>1527</v>
      </c>
      <c r="B536" s="16" t="s">
        <v>1528</v>
      </c>
      <c r="C536" s="32"/>
    </row>
    <row r="537" customFormat="false" ht="34.5" hidden="false" customHeight="true" outlineLevel="0" collapsed="false">
      <c r="A537" s="15" t="s">
        <v>1529</v>
      </c>
      <c r="B537" s="16" t="s">
        <v>1530</v>
      </c>
      <c r="C537" s="32"/>
    </row>
    <row r="538" customFormat="false" ht="23.25" hidden="false" customHeight="true" outlineLevel="0" collapsed="false">
      <c r="A538" s="15" t="s">
        <v>1531</v>
      </c>
      <c r="B538" s="16" t="s">
        <v>1532</v>
      </c>
      <c r="C538" s="32"/>
    </row>
    <row r="539" customFormat="false" ht="23.25" hidden="false" customHeight="true" outlineLevel="0" collapsed="false">
      <c r="A539" s="15" t="s">
        <v>1533</v>
      </c>
      <c r="B539" s="16" t="s">
        <v>1534</v>
      </c>
      <c r="C539" s="32"/>
    </row>
    <row r="540" customFormat="false" ht="45.75" hidden="false" customHeight="true" outlineLevel="0" collapsed="false">
      <c r="A540" s="15" t="s">
        <v>1535</v>
      </c>
      <c r="B540" s="16" t="s">
        <v>1536</v>
      </c>
      <c r="C540" s="32"/>
    </row>
    <row r="541" customFormat="false" ht="15" hidden="false" customHeight="true" outlineLevel="0" collapsed="false">
      <c r="A541" s="47" t="s">
        <v>1537</v>
      </c>
      <c r="B541" s="47"/>
      <c r="C541" s="47"/>
    </row>
    <row r="542" customFormat="false" ht="23.25" hidden="false" customHeight="true" outlineLevel="0" collapsed="false">
      <c r="A542" s="15" t="s">
        <v>1538</v>
      </c>
      <c r="B542" s="16" t="s">
        <v>1539</v>
      </c>
      <c r="C542" s="32"/>
    </row>
    <row r="543" customFormat="false" ht="23.25" hidden="false" customHeight="true" outlineLevel="0" collapsed="false">
      <c r="A543" s="15" t="s">
        <v>1540</v>
      </c>
      <c r="B543" s="16" t="s">
        <v>1541</v>
      </c>
      <c r="C543" s="32"/>
    </row>
    <row r="544" customFormat="false" ht="21.75" hidden="false" customHeight="true" outlineLevel="0" collapsed="false">
      <c r="A544" s="15" t="s">
        <v>1542</v>
      </c>
      <c r="B544" s="16" t="s">
        <v>1543</v>
      </c>
      <c r="C544" s="32"/>
    </row>
    <row r="545" customFormat="false" ht="34.5" hidden="false" customHeight="true" outlineLevel="0" collapsed="false">
      <c r="A545" s="15" t="s">
        <v>1544</v>
      </c>
      <c r="B545" s="16" t="s">
        <v>1545</v>
      </c>
      <c r="C545" s="32"/>
    </row>
    <row r="546" customFormat="false" ht="23.25" hidden="false" customHeight="true" outlineLevel="0" collapsed="false">
      <c r="A546" s="15" t="s">
        <v>1546</v>
      </c>
      <c r="B546" s="16" t="s">
        <v>1547</v>
      </c>
      <c r="C546" s="32"/>
    </row>
    <row r="547" customFormat="false" ht="23.25" hidden="false" customHeight="true" outlineLevel="0" collapsed="false">
      <c r="A547" s="15" t="s">
        <v>1548</v>
      </c>
      <c r="B547" s="16" t="s">
        <v>1549</v>
      </c>
      <c r="C547" s="32"/>
    </row>
    <row r="548" customFormat="false" ht="45.75" hidden="false" customHeight="true" outlineLevel="0" collapsed="false">
      <c r="A548" s="15" t="s">
        <v>1550</v>
      </c>
      <c r="B548" s="16" t="s">
        <v>1551</v>
      </c>
      <c r="C548" s="32"/>
    </row>
    <row r="549" customFormat="false" ht="45.75" hidden="false" customHeight="true" outlineLevel="0" collapsed="false">
      <c r="A549" s="15" t="s">
        <v>1552</v>
      </c>
      <c r="B549" s="16" t="s">
        <v>1553</v>
      </c>
      <c r="C549" s="32"/>
    </row>
    <row r="550" customFormat="false" ht="34.5" hidden="false" customHeight="true" outlineLevel="0" collapsed="false">
      <c r="A550" s="15" t="s">
        <v>1554</v>
      </c>
      <c r="B550" s="16" t="s">
        <v>1555</v>
      </c>
      <c r="C550" s="32"/>
    </row>
    <row r="552" customFormat="false" ht="15" hidden="false" customHeight="true" outlineLevel="0" collapsed="false">
      <c r="A552" s="42" t="s">
        <v>1556</v>
      </c>
      <c r="B552" s="43"/>
      <c r="C552" s="43"/>
    </row>
    <row r="553" customFormat="false" ht="23.25" hidden="false" customHeight="true" outlineLevel="0" collapsed="false">
      <c r="A553" s="15" t="s">
        <v>1557</v>
      </c>
      <c r="B553" s="16" t="s">
        <v>1558</v>
      </c>
      <c r="C553" s="32"/>
    </row>
    <row r="554" customFormat="false" ht="23.25" hidden="false" customHeight="true" outlineLevel="0" collapsed="false">
      <c r="A554" s="15" t="s">
        <v>1559</v>
      </c>
      <c r="B554" s="16" t="s">
        <v>1560</v>
      </c>
      <c r="C554" s="32"/>
    </row>
    <row r="555" customFormat="false" ht="21.75" hidden="false" customHeight="true" outlineLevel="0" collapsed="false">
      <c r="A555" s="15" t="s">
        <v>1561</v>
      </c>
      <c r="B555" s="16" t="s">
        <v>1562</v>
      </c>
      <c r="C555" s="32"/>
    </row>
    <row r="556" customFormat="false" ht="34.5" hidden="false" customHeight="true" outlineLevel="0" collapsed="false">
      <c r="A556" s="15" t="s">
        <v>1563</v>
      </c>
      <c r="B556" s="16" t="s">
        <v>1564</v>
      </c>
      <c r="C556" s="32"/>
    </row>
    <row r="557" customFormat="false" ht="23.25" hidden="false" customHeight="true" outlineLevel="0" collapsed="false"/>
    <row r="558" customFormat="false" ht="23.25" hidden="false" customHeight="true" outlineLevel="0" collapsed="false">
      <c r="A558" s="47" t="s">
        <v>1565</v>
      </c>
      <c r="B558" s="47"/>
      <c r="C558" s="47"/>
    </row>
    <row r="559" customFormat="false" ht="23.25" hidden="false" customHeight="true" outlineLevel="0" collapsed="false">
      <c r="A559" s="15" t="s">
        <v>1566</v>
      </c>
      <c r="B559" s="16" t="s">
        <v>1567</v>
      </c>
      <c r="C559" s="32"/>
    </row>
    <row r="560" customFormat="false" ht="23.25" hidden="false" customHeight="true" outlineLevel="0" collapsed="false">
      <c r="A560" s="15" t="s">
        <v>1568</v>
      </c>
      <c r="B560" s="16" t="s">
        <v>1569</v>
      </c>
      <c r="C560" s="32"/>
    </row>
    <row r="561" customFormat="false" ht="21.75" hidden="false" customHeight="true" outlineLevel="0" collapsed="false">
      <c r="A561" s="15" t="s">
        <v>1570</v>
      </c>
      <c r="B561" s="16" t="s">
        <v>1571</v>
      </c>
      <c r="C561" s="32"/>
    </row>
    <row r="562" customFormat="false" ht="34.5" hidden="false" customHeight="true" outlineLevel="0" collapsed="false">
      <c r="A562" s="15" t="s">
        <v>1572</v>
      </c>
      <c r="B562" s="16" t="s">
        <v>1573</v>
      </c>
      <c r="C562" s="32"/>
    </row>
    <row r="563" customFormat="false" ht="23.25" hidden="false" customHeight="true" outlineLevel="0" collapsed="false">
      <c r="A563" s="15" t="s">
        <v>1574</v>
      </c>
      <c r="B563" s="16" t="s">
        <v>1575</v>
      </c>
      <c r="C563" s="32"/>
    </row>
    <row r="564" customFormat="false" ht="23.25" hidden="false" customHeight="true" outlineLevel="0" collapsed="false"/>
    <row r="565" customFormat="false" ht="15" hidden="false" customHeight="true" outlineLevel="0" collapsed="false">
      <c r="A565" s="42" t="s">
        <v>1576</v>
      </c>
      <c r="B565" s="43"/>
      <c r="C565" s="43"/>
    </row>
    <row r="566" customFormat="false" ht="23.25" hidden="false" customHeight="true" outlineLevel="0" collapsed="false">
      <c r="A566" s="15" t="s">
        <v>1577</v>
      </c>
      <c r="B566" s="16" t="s">
        <v>1578</v>
      </c>
      <c r="C566" s="32"/>
    </row>
    <row r="567" customFormat="false" ht="23.25" hidden="false" customHeight="true" outlineLevel="0" collapsed="false">
      <c r="A567" s="15" t="s">
        <v>1579</v>
      </c>
      <c r="B567" s="16" t="s">
        <v>1580</v>
      </c>
      <c r="C567" s="32"/>
    </row>
    <row r="568" customFormat="false" ht="21.75" hidden="false" customHeight="true" outlineLevel="0" collapsed="false"/>
    <row r="569" customFormat="false" ht="34.5" hidden="false" customHeight="true" outlineLevel="0" collapsed="false"/>
    <row r="570" customFormat="false" ht="23.25" hidden="false" customHeight="true" outlineLevel="0" collapsed="false"/>
    <row r="571" customFormat="false" ht="23.25" hidden="false" customHeight="true" outlineLevel="0" collapsed="false">
      <c r="A571" s="47" t="s">
        <v>1581</v>
      </c>
      <c r="B571" s="47"/>
      <c r="C571" s="47"/>
    </row>
    <row r="572" customFormat="false" ht="23.25" hidden="false" customHeight="true" outlineLevel="0" collapsed="false">
      <c r="A572" s="15" t="s">
        <v>1582</v>
      </c>
      <c r="B572" s="16" t="s">
        <v>1583</v>
      </c>
      <c r="C572" s="32"/>
    </row>
    <row r="573" customFormat="false" ht="23.25" hidden="false" customHeight="true" outlineLevel="0" collapsed="false">
      <c r="A573" s="15" t="s">
        <v>1584</v>
      </c>
      <c r="B573" s="16" t="s">
        <v>1585</v>
      </c>
      <c r="C573" s="32"/>
    </row>
    <row r="574" customFormat="false" ht="21.75" hidden="false" customHeight="true" outlineLevel="0" collapsed="false">
      <c r="A574" s="15" t="s">
        <v>1586</v>
      </c>
      <c r="B574" s="16" t="s">
        <v>1587</v>
      </c>
      <c r="C574" s="32"/>
    </row>
    <row r="575" customFormat="false" ht="34.5" hidden="false" customHeight="true" outlineLevel="0" collapsed="false">
      <c r="A575" s="15" t="s">
        <v>1588</v>
      </c>
      <c r="B575" s="16" t="s">
        <v>1589</v>
      </c>
      <c r="C575" s="32"/>
    </row>
    <row r="576" customFormat="false" ht="23.25" hidden="false" customHeight="true" outlineLevel="0" collapsed="false">
      <c r="A576" s="15" t="s">
        <v>1590</v>
      </c>
      <c r="B576" s="16" t="s">
        <v>1591</v>
      </c>
      <c r="C576" s="32"/>
    </row>
    <row r="577" customFormat="false" ht="23.25" hidden="false" customHeight="true" outlineLevel="0" collapsed="false"/>
    <row r="579" customFormat="false" ht="15" hidden="false" customHeight="true" outlineLevel="0" collapsed="false">
      <c r="A579" s="47" t="s">
        <v>1592</v>
      </c>
      <c r="B579" s="47"/>
      <c r="C579" s="47"/>
    </row>
    <row r="580" customFormat="false" ht="23.25" hidden="false" customHeight="true" outlineLevel="0" collapsed="false">
      <c r="A580" s="15" t="s">
        <v>1593</v>
      </c>
      <c r="B580" s="16" t="s">
        <v>1594</v>
      </c>
      <c r="C580" s="32"/>
    </row>
    <row r="581" customFormat="false" ht="23.25" hidden="false" customHeight="true" outlineLevel="0" collapsed="false">
      <c r="A581" s="15" t="s">
        <v>1595</v>
      </c>
      <c r="B581" s="16" t="s">
        <v>1596</v>
      </c>
      <c r="C581" s="32"/>
    </row>
    <row r="582" customFormat="false" ht="21.75" hidden="false" customHeight="true" outlineLevel="0" collapsed="false">
      <c r="A582" s="15" t="s">
        <v>1597</v>
      </c>
      <c r="B582" s="16" t="s">
        <v>1598</v>
      </c>
      <c r="C582" s="32"/>
    </row>
    <row r="583" customFormat="false" ht="34.5" hidden="false" customHeight="true" outlineLevel="0" collapsed="false">
      <c r="A583" s="15" t="s">
        <v>1599</v>
      </c>
      <c r="B583" s="16" t="s">
        <v>1600</v>
      </c>
      <c r="C583" s="32"/>
    </row>
    <row r="584" customFormat="false" ht="23.25" hidden="false" customHeight="true" outlineLevel="0" collapsed="false">
      <c r="A584" s="15" t="s">
        <v>1601</v>
      </c>
      <c r="B584" s="16" t="s">
        <v>1602</v>
      </c>
      <c r="C584" s="32"/>
    </row>
    <row r="585" customFormat="false" ht="23.25" hidden="false" customHeight="true" outlineLevel="0" collapsed="false">
      <c r="A585" s="15" t="s">
        <v>1603</v>
      </c>
      <c r="B585" s="16" t="s">
        <v>1604</v>
      </c>
      <c r="C585" s="32"/>
    </row>
    <row r="586" customFormat="false" ht="23.25" hidden="false" customHeight="true" outlineLevel="0" collapsed="false">
      <c r="A586" s="15" t="s">
        <v>1605</v>
      </c>
      <c r="B586" s="16" t="s">
        <v>1606</v>
      </c>
      <c r="C586" s="32"/>
    </row>
    <row r="588" customFormat="false" ht="15" hidden="false" customHeight="true" outlineLevel="0" collapsed="false">
      <c r="A588" s="47" t="s">
        <v>1607</v>
      </c>
      <c r="B588" s="47"/>
      <c r="C588" s="47"/>
    </row>
    <row r="589" customFormat="false" ht="23.25" hidden="false" customHeight="true" outlineLevel="0" collapsed="false">
      <c r="A589" s="15" t="s">
        <v>1608</v>
      </c>
      <c r="B589" s="16" t="s">
        <v>1609</v>
      </c>
      <c r="C589" s="32"/>
    </row>
    <row r="590" customFormat="false" ht="23.25" hidden="false" customHeight="true" outlineLevel="0" collapsed="false">
      <c r="A590" s="15" t="s">
        <v>1610</v>
      </c>
      <c r="B590" s="16" t="s">
        <v>1611</v>
      </c>
      <c r="C590" s="32"/>
    </row>
    <row r="591" customFormat="false" ht="21.75" hidden="false" customHeight="true" outlineLevel="0" collapsed="false">
      <c r="A591" s="15" t="s">
        <v>1612</v>
      </c>
      <c r="B591" s="16" t="s">
        <v>1613</v>
      </c>
      <c r="C591" s="32"/>
    </row>
    <row r="592" customFormat="false" ht="34.5" hidden="false" customHeight="true" outlineLevel="0" collapsed="false">
      <c r="A592" s="15" t="s">
        <v>1614</v>
      </c>
      <c r="B592" s="16" t="s">
        <v>1615</v>
      </c>
      <c r="C592" s="32"/>
    </row>
    <row r="593" customFormat="false" ht="23.25" hidden="false" customHeight="true" outlineLevel="0" collapsed="false">
      <c r="A593" s="15" t="s">
        <v>1616</v>
      </c>
      <c r="B593" s="16" t="s">
        <v>1617</v>
      </c>
      <c r="C593" s="32"/>
    </row>
    <row r="594" customFormat="false" ht="23.25" hidden="false" customHeight="true" outlineLevel="0" collapsed="false">
      <c r="A594" s="15" t="s">
        <v>1618</v>
      </c>
      <c r="B594" s="16" t="s">
        <v>1619</v>
      </c>
      <c r="C594" s="32"/>
    </row>
    <row r="596" customFormat="false" ht="15" hidden="false" customHeight="true" outlineLevel="0" collapsed="false">
      <c r="A596" s="46" t="s">
        <v>1620</v>
      </c>
      <c r="B596" s="46"/>
      <c r="C596" s="46"/>
    </row>
    <row r="597" customFormat="false" ht="23.25" hidden="false" customHeight="true" outlineLevel="0" collapsed="false">
      <c r="A597" s="15" t="s">
        <v>1621</v>
      </c>
      <c r="B597" s="16" t="s">
        <v>1622</v>
      </c>
      <c r="C597" s="32"/>
    </row>
    <row r="598" customFormat="false" ht="23.25" hidden="false" customHeight="true" outlineLevel="0" collapsed="false">
      <c r="A598" s="15" t="s">
        <v>1623</v>
      </c>
      <c r="B598" s="16" t="s">
        <v>1624</v>
      </c>
      <c r="C598" s="32"/>
    </row>
    <row r="599" customFormat="false" ht="21.75" hidden="false" customHeight="true" outlineLevel="0" collapsed="false">
      <c r="A599" s="15" t="s">
        <v>1625</v>
      </c>
      <c r="B599" s="16" t="s">
        <v>1626</v>
      </c>
      <c r="C599" s="32"/>
    </row>
    <row r="600" customFormat="false" ht="34.5" hidden="false" customHeight="true" outlineLevel="0" collapsed="false">
      <c r="A600" s="15" t="s">
        <v>1627</v>
      </c>
      <c r="B600" s="16" t="s">
        <v>1628</v>
      </c>
      <c r="C600" s="32"/>
    </row>
    <row r="601" customFormat="false" ht="23.25" hidden="false" customHeight="true" outlineLevel="0" collapsed="false">
      <c r="A601" s="15" t="s">
        <v>1629</v>
      </c>
      <c r="B601" s="16" t="s">
        <v>1630</v>
      </c>
      <c r="C601" s="32"/>
    </row>
    <row r="602" customFormat="false" ht="23.25" hidden="false" customHeight="true" outlineLevel="0" collapsed="false">
      <c r="A602" s="15" t="s">
        <v>1631</v>
      </c>
      <c r="B602" s="16" t="s">
        <v>1632</v>
      </c>
      <c r="C602" s="32"/>
    </row>
    <row r="603" customFormat="false" ht="23.25" hidden="false" customHeight="true" outlineLevel="0" collapsed="false">
      <c r="A603" s="15" t="s">
        <v>1633</v>
      </c>
      <c r="B603" s="16" t="s">
        <v>1634</v>
      </c>
      <c r="C603" s="32"/>
    </row>
    <row r="606" customFormat="false" ht="15" hidden="false" customHeight="true" outlineLevel="0" collapsed="false">
      <c r="A606" s="47" t="s">
        <v>1635</v>
      </c>
      <c r="B606" s="47"/>
      <c r="C606" s="47"/>
    </row>
    <row r="607" customFormat="false" ht="23.25" hidden="false" customHeight="true" outlineLevel="0" collapsed="false">
      <c r="A607" s="15" t="s">
        <v>1636</v>
      </c>
      <c r="B607" s="16" t="s">
        <v>1637</v>
      </c>
      <c r="C607" s="32"/>
    </row>
    <row r="608" customFormat="false" ht="23.25" hidden="false" customHeight="true" outlineLevel="0" collapsed="false">
      <c r="A608" s="15" t="s">
        <v>1638</v>
      </c>
      <c r="B608" s="16" t="s">
        <v>1639</v>
      </c>
      <c r="C608" s="32"/>
    </row>
    <row r="609" customFormat="false" ht="21.75" hidden="false" customHeight="true" outlineLevel="0" collapsed="false">
      <c r="A609" s="15" t="s">
        <v>1640</v>
      </c>
      <c r="B609" s="16" t="s">
        <v>1641</v>
      </c>
      <c r="C609" s="32"/>
    </row>
    <row r="610" customFormat="false" ht="34.5" hidden="false" customHeight="true" outlineLevel="0" collapsed="false">
      <c r="A610" s="15" t="s">
        <v>1642</v>
      </c>
      <c r="B610" s="16" t="s">
        <v>1643</v>
      </c>
      <c r="C610" s="32"/>
    </row>
    <row r="611" customFormat="false" ht="23.25" hidden="false" customHeight="true" outlineLevel="0" collapsed="false">
      <c r="A611" s="15" t="s">
        <v>1644</v>
      </c>
      <c r="B611" s="16" t="s">
        <v>1645</v>
      </c>
      <c r="C611" s="32"/>
    </row>
    <row r="612" customFormat="false" ht="23.25" hidden="false" customHeight="true" outlineLevel="0" collapsed="false">
      <c r="A612" s="15" t="s">
        <v>1646</v>
      </c>
      <c r="B612" s="16" t="s">
        <v>1647</v>
      </c>
      <c r="C612" s="32"/>
    </row>
    <row r="613" customFormat="false" ht="45.75" hidden="false" customHeight="true" outlineLevel="0" collapsed="false">
      <c r="A613" s="15" t="s">
        <v>1648</v>
      </c>
      <c r="B613" s="16" t="s">
        <v>1649</v>
      </c>
      <c r="C613" s="32"/>
    </row>
    <row r="618" customFormat="false" ht="15" hidden="false" customHeight="true" outlineLevel="0" collapsed="false">
      <c r="A618" s="47" t="s">
        <v>1650</v>
      </c>
      <c r="B618" s="47"/>
      <c r="C618" s="47"/>
    </row>
    <row r="619" customFormat="false" ht="23.25" hidden="false" customHeight="true" outlineLevel="0" collapsed="false">
      <c r="A619" s="15" t="s">
        <v>1651</v>
      </c>
      <c r="B619" s="16" t="s">
        <v>1652</v>
      </c>
      <c r="C619" s="32"/>
    </row>
    <row r="620" customFormat="false" ht="23.25" hidden="false" customHeight="true" outlineLevel="0" collapsed="false">
      <c r="A620" s="15" t="s">
        <v>1653</v>
      </c>
      <c r="B620" s="16" t="s">
        <v>1654</v>
      </c>
      <c r="C620" s="32"/>
    </row>
    <row r="621" customFormat="false" ht="21.75" hidden="false" customHeight="true" outlineLevel="0" collapsed="false">
      <c r="A621" s="15" t="s">
        <v>1655</v>
      </c>
      <c r="B621" s="16" t="s">
        <v>1656</v>
      </c>
      <c r="C621" s="32"/>
    </row>
    <row r="622" customFormat="false" ht="34.5" hidden="false" customHeight="true" outlineLevel="0" collapsed="false">
      <c r="A622" s="15" t="s">
        <v>1657</v>
      </c>
      <c r="B622" s="16" t="s">
        <v>1658</v>
      </c>
      <c r="C622" s="32"/>
    </row>
    <row r="623" customFormat="false" ht="23.25" hidden="false" customHeight="true" outlineLevel="0" collapsed="false">
      <c r="A623" s="15" t="s">
        <v>1659</v>
      </c>
      <c r="B623" s="16" t="s">
        <v>1660</v>
      </c>
      <c r="C623" s="32"/>
    </row>
    <row r="624" customFormat="false" ht="23.25" hidden="false" customHeight="true" outlineLevel="0" collapsed="false"/>
    <row r="627" customFormat="false" ht="15" hidden="false" customHeight="true" outlineLevel="0" collapsed="false">
      <c r="A627" s="46" t="s">
        <v>1661</v>
      </c>
      <c r="B627" s="46"/>
      <c r="C627" s="46"/>
    </row>
    <row r="628" customFormat="false" ht="23.25" hidden="false" customHeight="true" outlineLevel="0" collapsed="false">
      <c r="A628" s="15" t="s">
        <v>1662</v>
      </c>
      <c r="B628" s="16" t="s">
        <v>1663</v>
      </c>
      <c r="C628" s="32"/>
    </row>
    <row r="629" customFormat="false" ht="23.25" hidden="false" customHeight="true" outlineLevel="0" collapsed="false">
      <c r="A629" s="15" t="s">
        <v>1664</v>
      </c>
      <c r="B629" s="16" t="s">
        <v>1665</v>
      </c>
      <c r="C629" s="32"/>
    </row>
    <row r="630" customFormat="false" ht="21.75" hidden="false" customHeight="true" outlineLevel="0" collapsed="false">
      <c r="A630" s="15" t="s">
        <v>1666</v>
      </c>
      <c r="B630" s="16" t="s">
        <v>1667</v>
      </c>
      <c r="C630" s="32"/>
    </row>
    <row r="631" customFormat="false" ht="34.5" hidden="false" customHeight="true" outlineLevel="0" collapsed="false">
      <c r="A631" s="15" t="s">
        <v>1668</v>
      </c>
      <c r="B631" s="16" t="s">
        <v>1669</v>
      </c>
      <c r="C631" s="32"/>
    </row>
    <row r="632" customFormat="false" ht="23.25" hidden="false" customHeight="true" outlineLevel="0" collapsed="false">
      <c r="A632" s="15" t="s">
        <v>1670</v>
      </c>
      <c r="B632" s="16" t="s">
        <v>1671</v>
      </c>
      <c r="C632" s="32"/>
    </row>
    <row r="633" customFormat="false" ht="23.25" hidden="false" customHeight="true" outlineLevel="0" collapsed="false"/>
    <row r="635" customFormat="false" ht="15" hidden="false" customHeight="true" outlineLevel="0" collapsed="false">
      <c r="A635" s="46" t="s">
        <v>1672</v>
      </c>
      <c r="B635" s="46"/>
      <c r="C635" s="46"/>
    </row>
    <row r="636" customFormat="false" ht="23.25" hidden="false" customHeight="true" outlineLevel="0" collapsed="false">
      <c r="A636" s="15" t="s">
        <v>1673</v>
      </c>
      <c r="B636" s="16" t="s">
        <v>1674</v>
      </c>
      <c r="C636" s="32"/>
    </row>
    <row r="637" customFormat="false" ht="23.25" hidden="false" customHeight="true" outlineLevel="0" collapsed="false">
      <c r="A637" s="15" t="s">
        <v>1675</v>
      </c>
      <c r="B637" s="16" t="s">
        <v>1676</v>
      </c>
      <c r="C637" s="32"/>
    </row>
    <row r="638" customFormat="false" ht="21.75" hidden="false" customHeight="true" outlineLevel="0" collapsed="false">
      <c r="A638" s="15" t="s">
        <v>1677</v>
      </c>
      <c r="B638" s="16" t="s">
        <v>1678</v>
      </c>
      <c r="C638" s="32"/>
    </row>
    <row r="639" customFormat="false" ht="34.5" hidden="false" customHeight="true" outlineLevel="0" collapsed="false">
      <c r="A639" s="15" t="s">
        <v>1679</v>
      </c>
      <c r="B639" s="16" t="s">
        <v>1680</v>
      </c>
      <c r="C639" s="32"/>
    </row>
    <row r="640" customFormat="false" ht="23.25" hidden="false" customHeight="true" outlineLevel="0" collapsed="false">
      <c r="A640" s="15" t="s">
        <v>1681</v>
      </c>
      <c r="B640" s="16" t="s">
        <v>1682</v>
      </c>
      <c r="C640" s="32"/>
    </row>
    <row r="641" customFormat="false" ht="23.25" hidden="false" customHeight="true" outlineLevel="0" collapsed="false">
      <c r="A641" s="15" t="s">
        <v>1683</v>
      </c>
      <c r="B641" s="16" t="s">
        <v>1684</v>
      </c>
      <c r="C641" s="32"/>
    </row>
    <row r="644" customFormat="false" ht="15" hidden="false" customHeight="true" outlineLevel="0" collapsed="false">
      <c r="A644" s="46" t="s">
        <v>1685</v>
      </c>
      <c r="B644" s="46"/>
      <c r="C644" s="46"/>
    </row>
    <row r="645" customFormat="false" ht="23.25" hidden="false" customHeight="true" outlineLevel="0" collapsed="false">
      <c r="A645" s="15" t="s">
        <v>1686</v>
      </c>
      <c r="B645" s="16" t="s">
        <v>1687</v>
      </c>
      <c r="C645" s="32"/>
    </row>
    <row r="646" customFormat="false" ht="23.25" hidden="false" customHeight="true" outlineLevel="0" collapsed="false">
      <c r="A646" s="15" t="s">
        <v>1688</v>
      </c>
      <c r="B646" s="16" t="s">
        <v>1689</v>
      </c>
      <c r="C646" s="32"/>
    </row>
    <row r="647" customFormat="false" ht="21.75" hidden="false" customHeight="true" outlineLevel="0" collapsed="false">
      <c r="A647" s="15" t="s">
        <v>1690</v>
      </c>
      <c r="B647" s="16" t="s">
        <v>1691</v>
      </c>
      <c r="C647" s="32"/>
    </row>
    <row r="648" customFormat="false" ht="34.5" hidden="false" customHeight="true" outlineLevel="0" collapsed="false">
      <c r="A648" s="15" t="s">
        <v>1692</v>
      </c>
      <c r="B648" s="16" t="s">
        <v>1693</v>
      </c>
      <c r="C648" s="32"/>
    </row>
    <row r="649" customFormat="false" ht="23.25" hidden="false" customHeight="true" outlineLevel="0" collapsed="false">
      <c r="A649" s="15" t="s">
        <v>1694</v>
      </c>
      <c r="B649" s="16" t="s">
        <v>1695</v>
      </c>
      <c r="C649" s="32"/>
    </row>
    <row r="650" customFormat="false" ht="23.25" hidden="false" customHeight="true" outlineLevel="0" collapsed="false">
      <c r="A650" s="15" t="s">
        <v>1696</v>
      </c>
      <c r="B650" s="16" t="s">
        <v>1697</v>
      </c>
      <c r="C650" s="32"/>
    </row>
    <row r="651" customFormat="false" ht="23.25" hidden="false" customHeight="true" outlineLevel="0" collapsed="false">
      <c r="A651" s="15" t="s">
        <v>1698</v>
      </c>
      <c r="B651" s="16" t="s">
        <v>1699</v>
      </c>
      <c r="C651" s="32"/>
    </row>
    <row r="654" customFormat="false" ht="15" hidden="false" customHeight="true" outlineLevel="0" collapsed="false">
      <c r="A654" s="47" t="s">
        <v>1700</v>
      </c>
      <c r="B654" s="47"/>
      <c r="C654" s="47"/>
    </row>
    <row r="655" customFormat="false" ht="23.25" hidden="false" customHeight="true" outlineLevel="0" collapsed="false">
      <c r="A655" s="15" t="s">
        <v>1701</v>
      </c>
      <c r="B655" s="16" t="s">
        <v>1702</v>
      </c>
      <c r="C655" s="32"/>
    </row>
    <row r="656" customFormat="false" ht="23.25" hidden="false" customHeight="true" outlineLevel="0" collapsed="false">
      <c r="A656" s="15" t="s">
        <v>1703</v>
      </c>
      <c r="B656" s="16" t="s">
        <v>1704</v>
      </c>
      <c r="C656" s="32"/>
    </row>
    <row r="657" customFormat="false" ht="21.75" hidden="false" customHeight="true" outlineLevel="0" collapsed="false">
      <c r="A657" s="15" t="s">
        <v>1705</v>
      </c>
      <c r="B657" s="16" t="s">
        <v>1706</v>
      </c>
      <c r="C657" s="32"/>
    </row>
    <row r="658" customFormat="false" ht="34.5" hidden="false" customHeight="true" outlineLevel="0" collapsed="false">
      <c r="A658" s="15" t="s">
        <v>1707</v>
      </c>
      <c r="B658" s="16" t="s">
        <v>1708</v>
      </c>
      <c r="C658" s="32"/>
    </row>
    <row r="659" customFormat="false" ht="23.25" hidden="false" customHeight="true" outlineLevel="0" collapsed="false">
      <c r="A659" s="15" t="s">
        <v>1520</v>
      </c>
      <c r="B659" s="16" t="s">
        <v>1709</v>
      </c>
      <c r="C659" s="32"/>
    </row>
    <row r="660" customFormat="false" ht="23.25" hidden="false" customHeight="true" outlineLevel="0" collapsed="false"/>
    <row r="662" customFormat="false" ht="15" hidden="false" customHeight="true" outlineLevel="0" collapsed="false">
      <c r="A662" s="46" t="s">
        <v>1710</v>
      </c>
      <c r="B662" s="46"/>
      <c r="C662" s="46"/>
    </row>
    <row r="663" customFormat="false" ht="23.25" hidden="false" customHeight="true" outlineLevel="0" collapsed="false">
      <c r="A663" s="15" t="s">
        <v>1711</v>
      </c>
      <c r="B663" s="16" t="s">
        <v>1712</v>
      </c>
      <c r="C663" s="32"/>
    </row>
    <row r="664" customFormat="false" ht="23.25" hidden="false" customHeight="true" outlineLevel="0" collapsed="false">
      <c r="A664" s="15" t="s">
        <v>1713</v>
      </c>
      <c r="B664" s="16" t="s">
        <v>1714</v>
      </c>
      <c r="C664" s="32"/>
    </row>
    <row r="665" customFormat="false" ht="21.75" hidden="false" customHeight="true" outlineLevel="0" collapsed="false">
      <c r="A665" s="15" t="s">
        <v>1715</v>
      </c>
      <c r="B665" s="16" t="s">
        <v>1716</v>
      </c>
      <c r="C665" s="32"/>
    </row>
    <row r="666" customFormat="false" ht="34.5" hidden="false" customHeight="true" outlineLevel="0" collapsed="false">
      <c r="A666" s="15" t="s">
        <v>1717</v>
      </c>
      <c r="B666" s="16" t="s">
        <v>1718</v>
      </c>
      <c r="C666" s="32"/>
    </row>
    <row r="667" customFormat="false" ht="23.25" hidden="false" customHeight="true" outlineLevel="0" collapsed="false">
      <c r="A667" s="15" t="s">
        <v>1719</v>
      </c>
      <c r="B667" s="16" t="s">
        <v>1720</v>
      </c>
      <c r="C667" s="32"/>
    </row>
    <row r="668" customFormat="false" ht="23.25" hidden="false" customHeight="true" outlineLevel="0" collapsed="false">
      <c r="A668" s="15" t="s">
        <v>1520</v>
      </c>
      <c r="B668" s="16" t="s">
        <v>1699</v>
      </c>
      <c r="C668" s="32"/>
    </row>
    <row r="671" customFormat="false" ht="15" hidden="false" customHeight="true" outlineLevel="0" collapsed="false">
      <c r="A671" s="46" t="s">
        <v>1721</v>
      </c>
      <c r="B671" s="46"/>
      <c r="C671" s="46"/>
    </row>
    <row r="672" customFormat="false" ht="23.25" hidden="false" customHeight="true" outlineLevel="0" collapsed="false">
      <c r="A672" s="15" t="s">
        <v>1722</v>
      </c>
      <c r="B672" s="16" t="s">
        <v>1723</v>
      </c>
      <c r="C672" s="32"/>
    </row>
    <row r="673" customFormat="false" ht="23.25" hidden="false" customHeight="true" outlineLevel="0" collapsed="false">
      <c r="A673" s="15" t="s">
        <v>1724</v>
      </c>
      <c r="B673" s="16" t="s">
        <v>1725</v>
      </c>
      <c r="C673" s="32"/>
    </row>
    <row r="674" customFormat="false" ht="21.75" hidden="false" customHeight="true" outlineLevel="0" collapsed="false">
      <c r="A674" s="15" t="s">
        <v>1726</v>
      </c>
      <c r="B674" s="16" t="s">
        <v>1727</v>
      </c>
      <c r="C674" s="32"/>
    </row>
    <row r="675" customFormat="false" ht="34.5" hidden="false" customHeight="true" outlineLevel="0" collapsed="false">
      <c r="A675" s="15" t="s">
        <v>1728</v>
      </c>
      <c r="B675" s="16" t="s">
        <v>1729</v>
      </c>
      <c r="C675" s="32"/>
    </row>
    <row r="676" customFormat="false" ht="23.25" hidden="false" customHeight="true" outlineLevel="0" collapsed="false">
      <c r="A676" s="15" t="s">
        <v>1730</v>
      </c>
      <c r="B676" s="16" t="s">
        <v>1731</v>
      </c>
      <c r="C676" s="32"/>
    </row>
    <row r="677" customFormat="false" ht="23.25" hidden="false" customHeight="true" outlineLevel="0" collapsed="false">
      <c r="A677" s="15" t="s">
        <v>1732</v>
      </c>
      <c r="B677" s="16" t="s">
        <v>1699</v>
      </c>
      <c r="C677" s="32"/>
    </row>
    <row r="682" customFormat="false" ht="15" hidden="false" customHeight="true" outlineLevel="0" collapsed="false">
      <c r="A682" s="47" t="s">
        <v>1733</v>
      </c>
      <c r="B682" s="47"/>
      <c r="C682" s="47"/>
    </row>
    <row r="683" customFormat="false" ht="23.25" hidden="false" customHeight="true" outlineLevel="0" collapsed="false">
      <c r="A683" s="15" t="s">
        <v>1734</v>
      </c>
      <c r="B683" s="16" t="s">
        <v>1735</v>
      </c>
      <c r="C683" s="32"/>
    </row>
    <row r="684" customFormat="false" ht="23.25" hidden="false" customHeight="true" outlineLevel="0" collapsed="false">
      <c r="A684" s="15" t="s">
        <v>1736</v>
      </c>
      <c r="B684" s="16" t="s">
        <v>1737</v>
      </c>
      <c r="C684" s="32"/>
    </row>
    <row r="685" customFormat="false" ht="21.75" hidden="false" customHeight="true" outlineLevel="0" collapsed="false">
      <c r="A685" s="15" t="s">
        <v>1738</v>
      </c>
      <c r="B685" s="16" t="s">
        <v>1739</v>
      </c>
      <c r="C685" s="32"/>
    </row>
    <row r="686" customFormat="false" ht="34.5" hidden="false" customHeight="true" outlineLevel="0" collapsed="false">
      <c r="A686" s="15" t="s">
        <v>1520</v>
      </c>
      <c r="B686" s="16" t="s">
        <v>1699</v>
      </c>
      <c r="C686" s="32"/>
    </row>
    <row r="687" customFormat="false" ht="23.25" hidden="false" customHeight="true" outlineLevel="0" collapsed="false"/>
    <row r="688" customFormat="false" ht="23.25" hidden="false" customHeight="true" outlineLevel="0" collapsed="false"/>
    <row r="690" customFormat="false" ht="15" hidden="false" customHeight="true" outlineLevel="0" collapsed="false">
      <c r="A690" s="46" t="s">
        <v>1740</v>
      </c>
      <c r="B690" s="46"/>
      <c r="C690" s="46"/>
    </row>
    <row r="691" customFormat="false" ht="23.25" hidden="false" customHeight="true" outlineLevel="0" collapsed="false">
      <c r="A691" s="15" t="s">
        <v>1741</v>
      </c>
      <c r="B691" s="16" t="s">
        <v>1742</v>
      </c>
      <c r="C691" s="32"/>
    </row>
    <row r="692" customFormat="false" ht="23.25" hidden="false" customHeight="true" outlineLevel="0" collapsed="false">
      <c r="A692" s="15" t="s">
        <v>1743</v>
      </c>
      <c r="B692" s="16" t="s">
        <v>1744</v>
      </c>
      <c r="C692" s="32"/>
    </row>
    <row r="693" customFormat="false" ht="21.75" hidden="false" customHeight="true" outlineLevel="0" collapsed="false">
      <c r="A693" s="15" t="s">
        <v>1745</v>
      </c>
      <c r="B693" s="16" t="s">
        <v>1746</v>
      </c>
      <c r="C693" s="32"/>
    </row>
    <row r="694" customFormat="false" ht="34.5" hidden="false" customHeight="true" outlineLevel="0" collapsed="false">
      <c r="A694" s="15" t="s">
        <v>1747</v>
      </c>
      <c r="B694" s="16" t="s">
        <v>1748</v>
      </c>
      <c r="C694" s="32"/>
    </row>
    <row r="695" customFormat="false" ht="23.25" hidden="false" customHeight="true" outlineLevel="0" collapsed="false">
      <c r="A695" s="15" t="s">
        <v>1749</v>
      </c>
      <c r="B695" s="16" t="s">
        <v>1750</v>
      </c>
      <c r="C695" s="32"/>
    </row>
    <row r="696" customFormat="false" ht="23.25" hidden="false" customHeight="true" outlineLevel="0" collapsed="false">
      <c r="A696" s="15" t="s">
        <v>1520</v>
      </c>
      <c r="B696" s="16" t="s">
        <v>1699</v>
      </c>
      <c r="C696" s="32"/>
    </row>
    <row r="700" customFormat="false" ht="15" hidden="false" customHeight="true" outlineLevel="0" collapsed="false">
      <c r="A700" s="46" t="s">
        <v>1751</v>
      </c>
      <c r="B700" s="46"/>
      <c r="C700" s="46"/>
    </row>
    <row r="701" customFormat="false" ht="23.25" hidden="false" customHeight="true" outlineLevel="0" collapsed="false">
      <c r="A701" s="15" t="s">
        <v>1752</v>
      </c>
      <c r="B701" s="16" t="s">
        <v>1753</v>
      </c>
      <c r="C701" s="32"/>
    </row>
    <row r="702" customFormat="false" ht="23.25" hidden="false" customHeight="true" outlineLevel="0" collapsed="false">
      <c r="A702" s="15" t="s">
        <v>1754</v>
      </c>
      <c r="B702" s="16" t="s">
        <v>1755</v>
      </c>
      <c r="C702" s="32"/>
    </row>
    <row r="703" customFormat="false" ht="21.75" hidden="false" customHeight="true" outlineLevel="0" collapsed="false">
      <c r="A703" s="15" t="s">
        <v>1756</v>
      </c>
      <c r="B703" s="16" t="s">
        <v>1757</v>
      </c>
      <c r="C703" s="32"/>
    </row>
    <row r="704" customFormat="false" ht="34.5" hidden="false" customHeight="true" outlineLevel="0" collapsed="false">
      <c r="A704" s="15" t="s">
        <v>1758</v>
      </c>
      <c r="B704" s="16" t="s">
        <v>1759</v>
      </c>
      <c r="C704" s="32"/>
    </row>
    <row r="705" customFormat="false" ht="23.25" hidden="false" customHeight="true" outlineLevel="0" collapsed="false">
      <c r="A705" s="15" t="s">
        <v>1760</v>
      </c>
      <c r="B705" s="16" t="s">
        <v>1761</v>
      </c>
      <c r="C705" s="32"/>
    </row>
    <row r="706" customFormat="false" ht="23.25" hidden="false" customHeight="true" outlineLevel="0" collapsed="false">
      <c r="A706" s="15" t="s">
        <v>1520</v>
      </c>
      <c r="B706" s="16" t="s">
        <v>1699</v>
      </c>
      <c r="C706" s="32"/>
    </row>
    <row r="707" customFormat="false" ht="34.5" hidden="false" customHeight="true" outlineLevel="0" collapsed="false">
      <c r="A707" s="15" t="s">
        <v>1762</v>
      </c>
      <c r="B707" s="16" t="s">
        <v>1763</v>
      </c>
      <c r="C707" s="32"/>
    </row>
    <row r="713" customFormat="false" ht="15" hidden="false" customHeight="true" outlineLevel="0" collapsed="false">
      <c r="A713" s="42" t="s">
        <v>1764</v>
      </c>
      <c r="B713" s="43"/>
      <c r="C713" s="43"/>
    </row>
    <row r="714" customFormat="false" ht="23.25" hidden="false" customHeight="true" outlineLevel="0" collapsed="false">
      <c r="A714" s="15" t="s">
        <v>1765</v>
      </c>
      <c r="B714" s="16" t="s">
        <v>1766</v>
      </c>
      <c r="C714" s="32" t="s">
        <v>1767</v>
      </c>
    </row>
    <row r="715" customFormat="false" ht="23.25" hidden="false" customHeight="true" outlineLevel="0" collapsed="false">
      <c r="A715" s="15" t="s">
        <v>1768</v>
      </c>
      <c r="B715" s="16" t="s">
        <v>1769</v>
      </c>
      <c r="C715" s="32"/>
    </row>
    <row r="716" customFormat="false" ht="21.75" hidden="false" customHeight="true" outlineLevel="0" collapsed="false">
      <c r="A716" s="15" t="s">
        <v>153</v>
      </c>
      <c r="B716" s="16" t="s">
        <v>1770</v>
      </c>
      <c r="C716" s="32" t="s">
        <v>1771</v>
      </c>
    </row>
    <row r="717" customFormat="false" ht="34.5" hidden="false" customHeight="true" outlineLevel="0" collapsed="false">
      <c r="A717" s="15" t="s">
        <v>1772</v>
      </c>
      <c r="B717" s="16" t="s">
        <v>1773</v>
      </c>
      <c r="C717" s="32"/>
    </row>
    <row r="718" customFormat="false" ht="23.25" hidden="false" customHeight="true" outlineLevel="0" collapsed="false">
      <c r="A718" s="15" t="s">
        <v>1774</v>
      </c>
      <c r="B718" s="16" t="s">
        <v>1775</v>
      </c>
      <c r="C718" s="32" t="s">
        <v>1776</v>
      </c>
    </row>
    <row r="719" customFormat="false" ht="23.25" hidden="false" customHeight="true" outlineLevel="0" collapsed="false">
      <c r="A719" s="15" t="s">
        <v>1777</v>
      </c>
      <c r="B719" s="16" t="s">
        <v>1778</v>
      </c>
      <c r="C719" s="32"/>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2026-08-01T18:02:52Z</dcterms:created>
  <dc:creator>openpyxl</dc:creator>
  <dc:description/>
  <dc:language>en-US</dc:language>
  <cp:lastModifiedBy/>
  <dcterms:modified xsi:type="dcterms:W3CDTF">2026-08-06T06:42:24Z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